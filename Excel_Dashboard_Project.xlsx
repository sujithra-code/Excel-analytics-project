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sathi\Downloads\"/>
    </mc:Choice>
  </mc:AlternateContent>
  <xr:revisionPtr revIDLastSave="0" documentId="13_ncr:1_{46F55907-83DC-41CD-A62C-EE8C7FEFFDF9}" xr6:coauthVersionLast="47" xr6:coauthVersionMax="47" xr10:uidLastSave="{00000000-0000-0000-0000-000000000000}"/>
  <bookViews>
    <workbookView xWindow="-108" yWindow="-108" windowWidth="23256" windowHeight="12456" xr2:uid="{00000000-000D-0000-FFFF-FFFF00000000}"/>
  </bookViews>
  <sheets>
    <sheet name=" Log" sheetId="1" r:id="rId1"/>
    <sheet name="Profit Calculation" sheetId="2" r:id="rId2"/>
    <sheet name="Pivot Table and Slicers " sheetId="6" r:id="rId3"/>
    <sheet name="Dashboard " sheetId="9" r:id="rId4"/>
  </sheets>
  <definedNames>
    <definedName name="_xlnm._FilterDatabase" localSheetId="0" hidden="1">' Log'!$A$8:$J$45</definedName>
    <definedName name="Slicer_Buy___Sell">#N/A</definedName>
    <definedName name="Slicer_Market">#N/A</definedName>
    <definedName name="Slicer_Win_Loss">#N/A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6" i="1" l="1"/>
  <c r="B2" i="1"/>
  <c r="J14" i="1"/>
  <c r="F21" i="2"/>
  <c r="F22" i="2"/>
  <c r="F23" i="2"/>
  <c r="F24" i="2"/>
  <c r="F25" i="2"/>
  <c r="F26" i="2"/>
  <c r="F27" i="2"/>
  <c r="F28" i="2"/>
  <c r="H26" i="2"/>
  <c r="G26" i="2" s="1"/>
  <c r="H27" i="2"/>
  <c r="G27" i="2" s="1"/>
  <c r="F18" i="2"/>
  <c r="F19" i="2"/>
  <c r="F20" i="2"/>
  <c r="F17" i="2"/>
  <c r="F12" i="2"/>
  <c r="F11" i="2"/>
  <c r="B5" i="1"/>
  <c r="B4" i="1"/>
  <c r="B3" i="1"/>
  <c r="J27" i="1"/>
  <c r="H12" i="2" s="1"/>
  <c r="G12" i="2" s="1"/>
  <c r="J43" i="1"/>
  <c r="H28" i="2" s="1"/>
  <c r="G28" i="2" s="1"/>
  <c r="J32" i="1"/>
  <c r="H17" i="2" s="1"/>
  <c r="G17" i="2" s="1"/>
  <c r="J33" i="1"/>
  <c r="H18" i="2" s="1"/>
  <c r="G18" i="2" s="1"/>
  <c r="J34" i="1"/>
  <c r="H19" i="2" s="1"/>
  <c r="G19" i="2" s="1"/>
  <c r="J35" i="1"/>
  <c r="H20" i="2" s="1"/>
  <c r="G20" i="2" s="1"/>
  <c r="J42" i="1"/>
  <c r="J36" i="1"/>
  <c r="H21" i="2" s="1"/>
  <c r="G21" i="2" s="1"/>
  <c r="J41" i="1"/>
  <c r="J37" i="1"/>
  <c r="H22" i="2" s="1"/>
  <c r="G22" i="2" s="1"/>
  <c r="J38" i="1"/>
  <c r="H23" i="2" s="1"/>
  <c r="G23" i="2" s="1"/>
  <c r="J39" i="1"/>
  <c r="H24" i="2" s="1"/>
  <c r="G24" i="2" s="1"/>
  <c r="J40" i="1"/>
  <c r="H25" i="2" s="1"/>
  <c r="G25" i="2" s="1"/>
  <c r="J26" i="1"/>
  <c r="H11" i="2" s="1"/>
  <c r="G11" i="2" s="1"/>
  <c r="J19" i="1"/>
  <c r="J17" i="1"/>
  <c r="J16" i="1"/>
  <c r="J18" i="1"/>
  <c r="J15" i="1"/>
  <c r="F6" i="2"/>
  <c r="F7" i="2"/>
  <c r="F8" i="2"/>
  <c r="F9" i="2"/>
  <c r="F10" i="2"/>
  <c r="F13" i="2"/>
  <c r="F14" i="2"/>
  <c r="F15" i="2"/>
  <c r="F16" i="2"/>
  <c r="F5" i="2"/>
  <c r="J20" i="1"/>
  <c r="H5" i="2" s="1"/>
  <c r="J31" i="1"/>
  <c r="H16" i="2" s="1"/>
  <c r="J21" i="1"/>
  <c r="H6" i="2" s="1"/>
  <c r="G6" i="2" s="1"/>
  <c r="J22" i="1"/>
  <c r="H7" i="2" s="1"/>
  <c r="G7" i="2" s="1"/>
  <c r="J23" i="1"/>
  <c r="H8" i="2" s="1"/>
  <c r="G8" i="2" s="1"/>
  <c r="J24" i="1"/>
  <c r="H9" i="2" s="1"/>
  <c r="G9" i="2" s="1"/>
  <c r="J25" i="1"/>
  <c r="H10" i="2" s="1"/>
  <c r="G10" i="2" s="1"/>
  <c r="J28" i="1"/>
  <c r="H13" i="2" s="1"/>
  <c r="G13" i="2" s="1"/>
  <c r="J29" i="1"/>
  <c r="H14" i="2" s="1"/>
  <c r="G14" i="2" s="1"/>
  <c r="J30" i="1"/>
  <c r="H15" i="2" s="1"/>
  <c r="G15" i="2" s="1"/>
  <c r="J10" i="1"/>
  <c r="J11" i="1"/>
  <c r="J12" i="1"/>
  <c r="J13" i="1"/>
  <c r="K5" i="2" l="1"/>
  <c r="K7" i="2"/>
  <c r="K9" i="2" s="1"/>
  <c r="H29" i="2"/>
  <c r="G16" i="2"/>
  <c r="G5" i="2"/>
</calcChain>
</file>

<file path=xl/sharedStrings.xml><?xml version="1.0" encoding="utf-8"?>
<sst xmlns="http://schemas.openxmlformats.org/spreadsheetml/2006/main" count="282" uniqueCount="66">
  <si>
    <t>Date</t>
  </si>
  <si>
    <t>Pair</t>
  </si>
  <si>
    <t>Entry Price</t>
  </si>
  <si>
    <t>Exit Price</t>
  </si>
  <si>
    <t>Stop Loss</t>
  </si>
  <si>
    <t>Take Profit</t>
  </si>
  <si>
    <t>HDFCBANK</t>
  </si>
  <si>
    <t>KVB</t>
  </si>
  <si>
    <t>BPCL</t>
  </si>
  <si>
    <t>LOSS</t>
  </si>
  <si>
    <t>PROFIT</t>
  </si>
  <si>
    <t>UNIONBANK</t>
  </si>
  <si>
    <t>XAUUSD</t>
  </si>
  <si>
    <t>GBPUSD</t>
  </si>
  <si>
    <t>BTCUSD</t>
  </si>
  <si>
    <t>points/pips gained</t>
  </si>
  <si>
    <t>buy / sell</t>
  </si>
  <si>
    <t>BUY</t>
  </si>
  <si>
    <t>SELL</t>
  </si>
  <si>
    <t>BHEL</t>
  </si>
  <si>
    <t>Market</t>
  </si>
  <si>
    <t>NSE</t>
  </si>
  <si>
    <t>FOREX</t>
  </si>
  <si>
    <t>CRYPTO</t>
  </si>
  <si>
    <t xml:space="preserve">TRADE SUMMARY </t>
  </si>
  <si>
    <t>Total Wins</t>
  </si>
  <si>
    <t>Total Losses</t>
  </si>
  <si>
    <t>Result</t>
  </si>
  <si>
    <t>Total</t>
  </si>
  <si>
    <t>EURJPY</t>
  </si>
  <si>
    <t>BEL</t>
  </si>
  <si>
    <t>Profit</t>
  </si>
  <si>
    <t>Qunatity</t>
  </si>
  <si>
    <t>Buy / Sell</t>
  </si>
  <si>
    <t>Row Labels</t>
  </si>
  <si>
    <t>Sum of Profit</t>
  </si>
  <si>
    <t xml:space="preserve"> Total Profit</t>
  </si>
  <si>
    <t xml:space="preserve"> Total Trades</t>
  </si>
  <si>
    <t xml:space="preserve">      Win % </t>
  </si>
  <si>
    <t xml:space="preserve"> Monthly Profit Trend </t>
  </si>
  <si>
    <r>
      <t xml:space="preserve">     </t>
    </r>
    <r>
      <rPr>
        <b/>
        <i/>
        <sz val="22"/>
        <color theme="5"/>
        <rFont val="Calibri"/>
        <family val="2"/>
        <scheme val="minor"/>
      </rPr>
      <t xml:space="preserve">      Pivot tables </t>
    </r>
  </si>
  <si>
    <r>
      <t xml:space="preserve">    </t>
    </r>
    <r>
      <rPr>
        <b/>
        <sz val="14"/>
        <color theme="1" tint="0.34998626667073579"/>
        <rFont val="Calibri"/>
        <family val="2"/>
        <scheme val="minor"/>
      </rPr>
      <t xml:space="preserve"> Buy vs Sell Profit</t>
    </r>
  </si>
  <si>
    <r>
      <t xml:space="preserve">         </t>
    </r>
    <r>
      <rPr>
        <b/>
        <sz val="14"/>
        <color theme="5"/>
        <rFont val="Calibri"/>
        <family val="2"/>
        <scheme val="minor"/>
      </rPr>
      <t xml:space="preserve"> </t>
    </r>
    <r>
      <rPr>
        <b/>
        <sz val="14"/>
        <color theme="1" tint="0.34998626667073579"/>
        <rFont val="Calibri"/>
        <family val="2"/>
        <scheme val="minor"/>
      </rPr>
      <t>Profit by Pair</t>
    </r>
  </si>
  <si>
    <t>Win/Loss</t>
  </si>
  <si>
    <t>Win</t>
  </si>
  <si>
    <t>Count of Win/Loss</t>
  </si>
  <si>
    <t xml:space="preserve">       Count of win/loss</t>
  </si>
  <si>
    <t>Win %</t>
  </si>
  <si>
    <t>2025</t>
  </si>
  <si>
    <t>Apr</t>
  </si>
  <si>
    <t>2024</t>
  </si>
  <si>
    <t>Oct</t>
  </si>
  <si>
    <t>Jun</t>
  </si>
  <si>
    <t>Loss</t>
  </si>
  <si>
    <t>May</t>
  </si>
  <si>
    <t>Feb</t>
  </si>
  <si>
    <t>JIOFIN</t>
  </si>
  <si>
    <t>RBL BANK</t>
  </si>
  <si>
    <t xml:space="preserve">             --</t>
  </si>
  <si>
    <t>ETHUSD</t>
  </si>
  <si>
    <t>EURUSD</t>
  </si>
  <si>
    <t>Jul</t>
  </si>
  <si>
    <t>2023</t>
  </si>
  <si>
    <t>Sum of points/pips gained</t>
  </si>
  <si>
    <r>
      <t xml:space="preserve">          </t>
    </r>
    <r>
      <rPr>
        <b/>
        <sz val="22"/>
        <color theme="5"/>
        <rFont val="Calibri"/>
        <family val="2"/>
        <scheme val="minor"/>
      </rPr>
      <t xml:space="preserve">    </t>
    </r>
  </si>
  <si>
    <t>No of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</si>
</sst>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0" x14ac:knownFonts="1">
    <font>
      <sz val="11"/>
      <color theme="1"/>
      <name val="Calibri"/>
      <family val="2"/>
      <scheme val="minor"/>
    </font>
    <font>
      <b/>
      <sz val="11"/>
      <color theme="1"/>
      <name val="Calibri"/>
      <family val="2"/>
      <scheme val="minor"/>
    </font>
    <font>
      <b/>
      <sz val="11"/>
      <color theme="1"/>
      <name val="Segoe UI Variable Display"/>
    </font>
    <font>
      <sz val="11"/>
      <color theme="1"/>
      <name val="Segoe UI Variable Display"/>
    </font>
    <font>
      <sz val="11"/>
      <name val="Calibri"/>
      <family val="2"/>
      <scheme val="minor"/>
    </font>
    <font>
      <b/>
      <sz val="11"/>
      <color theme="0"/>
      <name val="Calibri"/>
      <family val="2"/>
      <scheme val="minor"/>
    </font>
    <font>
      <b/>
      <sz val="11"/>
      <color theme="0"/>
      <name val="Segoe UI Variable Display"/>
    </font>
    <font>
      <sz val="8"/>
      <name val="Calibri"/>
      <family val="2"/>
      <scheme val="minor"/>
    </font>
    <font>
      <sz val="18"/>
      <color theme="1"/>
      <name val="Calibri"/>
      <family val="2"/>
      <scheme val="minor"/>
    </font>
    <font>
      <b/>
      <sz val="14"/>
      <color theme="5"/>
      <name val="Calibri"/>
      <family val="2"/>
      <scheme val="minor"/>
    </font>
    <font>
      <b/>
      <sz val="14"/>
      <color theme="1"/>
      <name val="Calibri"/>
      <family val="2"/>
      <scheme val="minor"/>
    </font>
    <font>
      <i/>
      <sz val="18"/>
      <color theme="1"/>
      <name val="Calibri"/>
      <family val="2"/>
      <scheme val="minor"/>
    </font>
    <font>
      <b/>
      <i/>
      <sz val="18"/>
      <color rgb="FFFF0000"/>
      <name val="Calibri"/>
      <family val="2"/>
      <scheme val="minor"/>
    </font>
    <font>
      <i/>
      <sz val="18"/>
      <color rgb="FFFF0000"/>
      <name val="Calibri"/>
      <family val="2"/>
      <scheme val="minor"/>
    </font>
    <font>
      <b/>
      <sz val="18"/>
      <color rgb="FFFF0000"/>
      <name val="Calibri"/>
      <family val="2"/>
      <scheme val="minor"/>
    </font>
    <font>
      <b/>
      <sz val="14"/>
      <color theme="5" tint="-0.249977111117893"/>
      <name val="Calibri"/>
      <family val="2"/>
      <scheme val="minor"/>
    </font>
    <font>
      <b/>
      <i/>
      <sz val="22"/>
      <color theme="5"/>
      <name val="Calibri"/>
      <family val="2"/>
      <scheme val="minor"/>
    </font>
    <font>
      <b/>
      <sz val="22"/>
      <color theme="5"/>
      <name val="Calibri"/>
      <family val="2"/>
      <scheme val="minor"/>
    </font>
    <font>
      <b/>
      <sz val="14"/>
      <color theme="1" tint="0.34998626667073579"/>
      <name val="Calibri"/>
      <family val="2"/>
      <scheme val="minor"/>
    </font>
    <font>
      <sz val="11"/>
      <color theme="1" tint="0.34998626667073579"/>
      <name val="Calibri"/>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right style="thin">
        <color theme="4"/>
      </right>
      <top style="thin">
        <color auto="1"/>
      </top>
      <bottom/>
      <diagonal/>
    </border>
    <border>
      <left/>
      <right/>
      <top/>
      <bottom style="medium">
        <color indexed="64"/>
      </bottom>
      <diagonal/>
    </border>
  </borders>
  <cellStyleXfs count="1">
    <xf numFmtId="0" fontId="0" fillId="0" borderId="0"/>
  </cellStyleXfs>
  <cellXfs count="31">
    <xf numFmtId="0" fontId="0" fillId="0" borderId="0" xfId="0"/>
    <xf numFmtId="14" fontId="0" fillId="0" borderId="0" xfId="0" applyNumberFormat="1"/>
    <xf numFmtId="14" fontId="1" fillId="0" borderId="0" xfId="0" applyNumberFormat="1" applyFont="1"/>
    <xf numFmtId="14" fontId="2" fillId="0" borderId="0" xfId="0" applyNumberFormat="1" applyFont="1" applyAlignment="1">
      <alignment horizontal="center" vertical="top"/>
    </xf>
    <xf numFmtId="0" fontId="3" fillId="0" borderId="0" xfId="0" applyFont="1"/>
    <xf numFmtId="0" fontId="2" fillId="0" borderId="0" xfId="0" applyFont="1" applyAlignment="1">
      <alignment horizontal="center" vertical="top"/>
    </xf>
    <xf numFmtId="14" fontId="3" fillId="0" borderId="0" xfId="0" applyNumberFormat="1" applyFont="1"/>
    <xf numFmtId="0" fontId="3" fillId="0" borderId="0" xfId="0" applyFont="1" applyAlignment="1">
      <alignment vertical="center" readingOrder="1"/>
    </xf>
    <xf numFmtId="0" fontId="4" fillId="0" borderId="0" xfId="0" applyFont="1" applyAlignment="1">
      <alignment vertical="center" readingOrder="1"/>
    </xf>
    <xf numFmtId="0" fontId="5" fillId="2" borderId="0" xfId="0" applyFont="1" applyFill="1"/>
    <xf numFmtId="0" fontId="6" fillId="2" borderId="0" xfId="0" applyFont="1" applyFill="1"/>
    <xf numFmtId="0" fontId="0" fillId="0" borderId="0" xfId="0" pivotButton="1"/>
    <xf numFmtId="0" fontId="0" fillId="0" borderId="0" xfId="0" applyAlignment="1">
      <alignment horizontal="left"/>
    </xf>
    <xf numFmtId="0" fontId="6" fillId="2" borderId="1" xfId="0" applyFont="1" applyFill="1" applyBorder="1"/>
    <xf numFmtId="10" fontId="0" fillId="0" borderId="0" xfId="0" applyNumberFormat="1"/>
    <xf numFmtId="0" fontId="10" fillId="0" borderId="0" xfId="0" applyFont="1"/>
    <xf numFmtId="0" fontId="8" fillId="0" borderId="0" xfId="0" applyFont="1"/>
    <xf numFmtId="0" fontId="11" fillId="0" borderId="0" xfId="0" applyFont="1"/>
    <xf numFmtId="0" fontId="12" fillId="0" borderId="0" xfId="0" applyFont="1"/>
    <xf numFmtId="0" fontId="13" fillId="0" borderId="0" xfId="0" applyFont="1"/>
    <xf numFmtId="0" fontId="0" fillId="0" borderId="2" xfId="0" applyBorder="1"/>
    <xf numFmtId="0" fontId="14" fillId="0" borderId="0" xfId="0" applyFont="1"/>
    <xf numFmtId="0" fontId="15" fillId="0" borderId="0" xfId="0" applyFont="1"/>
    <xf numFmtId="0" fontId="9" fillId="0" borderId="0" xfId="0" applyFont="1"/>
    <xf numFmtId="0" fontId="18" fillId="0" borderId="0" xfId="0" applyFont="1"/>
    <xf numFmtId="0" fontId="19" fillId="0" borderId="0" xfId="0" applyFont="1"/>
    <xf numFmtId="14" fontId="5" fillId="2" borderId="0" xfId="0" applyNumberFormat="1" applyFont="1" applyFill="1"/>
    <xf numFmtId="164" fontId="3" fillId="0" borderId="0" xfId="0" applyNumberFormat="1" applyFont="1"/>
    <xf numFmtId="0" fontId="0" fillId="0" borderId="0" xfId="0" applyAlignment="1">
      <alignment horizontal="left" indent="1"/>
    </xf>
    <xf numFmtId="164" fontId="0" fillId="0" borderId="0" xfId="0" applyNumberFormat="1"/>
    <xf numFmtId="164" fontId="18" fillId="0" borderId="0" xfId="0" applyNumberFormat="1" applyFont="1"/>
  </cellXfs>
  <cellStyles count="1">
    <cellStyle name="Normal" xfId="0" builtinId="0"/>
  </cellStyles>
  <dxfs count="59">
    <dxf>
      <font>
        <b val="0"/>
        <i val="0"/>
        <strike val="0"/>
        <condense val="0"/>
        <extend val="0"/>
        <outline val="0"/>
        <shadow val="0"/>
        <u val="none"/>
        <vertAlign val="baseline"/>
        <sz val="11"/>
        <color auto="1"/>
        <name val="Calibri"/>
        <family val="2"/>
        <scheme val="minor"/>
      </font>
      <alignment horizontal="general" vertical="center" textRotation="0" wrapText="0" indent="0" justifyLastLine="0" shrinkToFit="0" readingOrder="1"/>
    </dxf>
    <dxf>
      <font>
        <strike val="0"/>
        <outline val="0"/>
        <shadow val="0"/>
        <u val="none"/>
        <vertAlign val="baseline"/>
        <color theme="1"/>
        <name val="Segoe UI Variable Display"/>
        <scheme val="none"/>
      </font>
      <numFmt numFmtId="19" formatCode="m/d/yyyy"/>
    </dxf>
    <dxf>
      <numFmt numFmtId="164" formatCode="[$-409]d\-mmm\-yy;@"/>
    </dxf>
    <dxf>
      <numFmt numFmtId="164" formatCode="[$-409]d\-mmm\-yy;@"/>
    </dxf>
    <dxf>
      <font>
        <color rgb="FF006100"/>
      </font>
      <fill>
        <patternFill>
          <bgColor rgb="FFC6EFCE"/>
        </patternFill>
      </fill>
    </dxf>
    <dxf>
      <font>
        <color rgb="FF9C0006"/>
      </font>
      <fill>
        <patternFill>
          <bgColor rgb="FFFFC7CE"/>
        </patternFill>
      </fill>
    </dxf>
    <dxf>
      <fill>
        <patternFill>
          <bgColor rgb="FF215B69"/>
        </patternFill>
      </fill>
    </dxf>
    <dxf>
      <fill>
        <patternFill>
          <fgColor rgb="FF953533"/>
        </patternFill>
      </fill>
    </dxf>
    <dxf>
      <fill>
        <patternFill>
          <bgColor rgb="FF36967B"/>
        </patternFill>
      </fill>
    </dxf>
    <dxf>
      <fill>
        <patternFill>
          <fgColor rgb="FF389445"/>
        </patternFill>
      </fill>
    </dxf>
    <dxf>
      <fill>
        <patternFill>
          <fgColor rgb="FFDA9492"/>
          <bgColor rgb="FFFF7575"/>
        </patternFill>
      </fill>
    </dxf>
    <dxf>
      <fill>
        <patternFill>
          <fgColor rgb="FF486C32"/>
        </patternFill>
      </fill>
    </dxf>
    <dxf>
      <font>
        <color rgb="FF629C82"/>
      </font>
    </dxf>
    <dxf>
      <font>
        <color rgb="FF9C0006"/>
      </font>
    </dxf>
    <dxf>
      <font>
        <color theme="0"/>
      </font>
      <fill>
        <patternFill>
          <bgColor rgb="FF5D8E9D"/>
        </patternFill>
      </fill>
    </dxf>
    <dxf>
      <font>
        <b/>
        <i val="0"/>
      </font>
      <fill>
        <patternFill>
          <fgColor rgb="FFC3D5DB"/>
        </patternFill>
      </fill>
    </dxf>
    <dxf>
      <fill>
        <patternFill>
          <fgColor rgb="FFC45B58"/>
        </patternFill>
      </fill>
    </dxf>
    <dxf>
      <font>
        <b/>
        <i val="0"/>
      </font>
      <fill>
        <patternFill>
          <fgColor rgb="FFC45B58"/>
        </patternFill>
      </fill>
    </dxf>
    <dxf>
      <font>
        <color theme="0"/>
      </font>
      <fill>
        <patternFill>
          <fgColor rgb="FFE8206C"/>
        </patternFill>
      </fill>
    </dxf>
    <dxf>
      <fill>
        <patternFill>
          <bgColor theme="5" tint="0.39994506668294322"/>
        </patternFill>
      </fill>
    </dxf>
    <dxf>
      <fill>
        <patternFill>
          <fgColor rgb="FFFF4FA7"/>
        </patternFill>
      </fill>
    </dxf>
    <dxf>
      <border>
        <left style="thin">
          <color rgb="FF9C0006"/>
        </left>
        <right style="thin">
          <color rgb="FF9C0006"/>
        </right>
        <top style="thin">
          <color rgb="FF9C0006"/>
        </top>
        <bottom style="thin">
          <color rgb="FF9C0006"/>
        </bottom>
      </border>
    </dxf>
    <dxf>
      <fill>
        <patternFill>
          <fgColor rgb="FFF395B2"/>
          <bgColor theme="5" tint="0.59996337778862885"/>
        </patternFill>
      </fill>
    </dxf>
    <dxf>
      <fill>
        <patternFill>
          <bgColor theme="5" tint="0.39994506668294322"/>
        </patternFill>
      </fill>
    </dxf>
    <dxf>
      <fill>
        <patternFill>
          <bgColor rgb="FFE3B0AF"/>
        </patternFill>
      </fill>
    </dxf>
    <dxf>
      <fill>
        <patternFill>
          <bgColor rgb="FFC65D5A"/>
        </patternFill>
      </fill>
    </dxf>
    <dxf>
      <fill>
        <patternFill>
          <bgColor rgb="FFCC6C6A"/>
        </patternFill>
      </fill>
    </dxf>
    <dxf>
      <fill>
        <patternFill>
          <fgColor rgb="FFFFAFD7"/>
        </patternFill>
      </fill>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numFmt numFmtId="0" formatCode="General"/>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numFmt numFmtId="0" formatCode="General"/>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numFmt numFmtId="0" formatCode="General"/>
    </dxf>
    <dxf>
      <font>
        <b val="0"/>
        <i val="0"/>
        <strike val="0"/>
        <condense val="0"/>
        <extend val="0"/>
        <outline val="0"/>
        <shadow val="0"/>
        <u val="none"/>
        <vertAlign val="baseline"/>
        <sz val="11"/>
        <color theme="1"/>
        <name val="Segoe UI Variable Display"/>
        <scheme val="none"/>
      </font>
      <numFmt numFmtId="19" formatCode="m/d/yyyy"/>
    </dxf>
    <dxf>
      <font>
        <b val="0"/>
        <i val="0"/>
        <strike val="0"/>
        <condense val="0"/>
        <extend val="0"/>
        <outline val="0"/>
        <shadow val="0"/>
        <u val="none"/>
        <vertAlign val="baseline"/>
        <sz val="11"/>
        <color theme="1"/>
        <name val="Segoe UI Variable Display"/>
        <scheme val="none"/>
      </font>
      <numFmt numFmtId="164" formatCode="[$-409]d\-mmm\-yy;@"/>
    </dxf>
    <dxf>
      <border outline="0">
        <top style="thin">
          <color auto="1"/>
        </top>
      </border>
    </dxf>
    <dxf>
      <font>
        <b val="0"/>
        <i val="0"/>
        <strike val="0"/>
        <condense val="0"/>
        <extend val="0"/>
        <outline val="0"/>
        <shadow val="0"/>
        <u val="none"/>
        <vertAlign val="baseline"/>
        <sz val="11"/>
        <color theme="1"/>
        <name val="Segoe UI Variable Display"/>
        <scheme val="none"/>
      </font>
    </dxf>
    <dxf>
      <font>
        <b val="0"/>
        <i val="0"/>
        <strike val="0"/>
        <condense val="0"/>
        <extend val="0"/>
        <outline val="0"/>
        <shadow val="0"/>
        <u val="none"/>
        <vertAlign val="baseline"/>
        <sz val="11"/>
        <color theme="1"/>
        <name val="Segoe UI Variable Display"/>
        <scheme val="none"/>
      </font>
      <alignment horizontal="general" vertical="center" textRotation="0" wrapText="0" indent="0" justifyLastLine="0" shrinkToFit="0" readingOrder="1"/>
    </dxf>
    <dxf>
      <font>
        <strike val="0"/>
        <outline val="0"/>
        <shadow val="0"/>
        <u val="none"/>
        <vertAlign val="baseline"/>
        <color theme="1"/>
        <name val="Segoe UI Variable Display"/>
        <scheme val="none"/>
      </font>
    </dxf>
    <dxf>
      <font>
        <strike val="0"/>
        <outline val="0"/>
        <shadow val="0"/>
        <u val="none"/>
        <vertAlign val="baseline"/>
        <color theme="1"/>
        <name val="Segoe UI Variable Display"/>
        <scheme val="none"/>
      </font>
    </dxf>
    <dxf>
      <font>
        <strike val="0"/>
        <outline val="0"/>
        <shadow val="0"/>
        <u val="none"/>
        <vertAlign val="baseline"/>
        <color theme="1"/>
        <name val="Segoe UI Variable Display"/>
        <scheme val="none"/>
      </font>
    </dxf>
    <dxf>
      <font>
        <strike val="0"/>
        <outline val="0"/>
        <shadow val="0"/>
        <u val="none"/>
        <vertAlign val="baseline"/>
        <color theme="1"/>
        <name val="Segoe UI Variable Display"/>
        <scheme val="none"/>
      </font>
    </dxf>
    <dxf>
      <font>
        <strike val="0"/>
        <outline val="0"/>
        <shadow val="0"/>
        <u val="none"/>
        <vertAlign val="baseline"/>
        <color theme="1"/>
        <name val="Segoe UI Variable Display"/>
        <scheme val="none"/>
      </font>
    </dxf>
    <dxf>
      <font>
        <strike val="0"/>
        <outline val="0"/>
        <shadow val="0"/>
        <u val="none"/>
        <vertAlign val="baseline"/>
        <color theme="1"/>
        <name val="Segoe UI Variable Display"/>
        <scheme val="none"/>
      </font>
    </dxf>
    <dxf>
      <font>
        <strike val="0"/>
        <outline val="0"/>
        <shadow val="0"/>
        <u val="none"/>
        <vertAlign val="baseline"/>
        <color theme="1"/>
        <name val="Segoe UI Variable Display"/>
        <scheme val="none"/>
      </font>
    </dxf>
    <dxf>
      <font>
        <strike val="0"/>
        <outline val="0"/>
        <shadow val="0"/>
        <u val="none"/>
        <vertAlign val="baseline"/>
        <color theme="1"/>
        <name val="Segoe UI Variable Display"/>
        <scheme val="none"/>
      </font>
      <numFmt numFmtId="19" formatCode="m/d/yyyy"/>
    </dxf>
    <dxf>
      <border outline="0">
        <top style="thin">
          <color auto="1"/>
        </top>
      </border>
    </dxf>
    <dxf>
      <font>
        <strike val="0"/>
        <outline val="0"/>
        <shadow val="0"/>
        <u val="none"/>
        <vertAlign val="baseline"/>
        <color theme="1"/>
        <name val="Segoe UI Variable Display"/>
        <scheme val="none"/>
      </font>
    </dxf>
    <dxf>
      <border outline="0">
        <bottom style="thin">
          <color auto="1"/>
        </bottom>
      </border>
    </dxf>
    <dxf>
      <fill>
        <patternFill patternType="solid">
          <fgColor rgb="FFC6EFCE"/>
          <bgColor rgb="FF000000"/>
        </patternFill>
      </fill>
    </dxf>
  </dxfs>
  <tableStyles count="0" defaultTableStyle="TableStyleMedium9" defaultPivotStyle="PivotStyleLight16"/>
  <colors>
    <mruColors>
      <color rgb="FFFF7171"/>
      <color rgb="FFFF7575"/>
      <color rgb="FF4376B3"/>
      <color rgb="FF4579B9"/>
      <color rgb="FF2D6BB5"/>
      <color rgb="FFFF9F9F"/>
      <color rgb="FF608DC4"/>
      <color rgb="FF486C32"/>
      <color rgb="FF2E7049"/>
      <color rgb="FF2A746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 and Slicers !PivotTable6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75000"/>
            </a:schemeClr>
          </a:solidFill>
          <a:ln w="19050">
            <a:noFill/>
          </a:ln>
          <a:effectLst/>
        </c:spPr>
        <c:dLbl>
          <c:idx val="0"/>
          <c:layout>
            <c:manualLayout>
              <c:x val="0.10110893672537496"/>
              <c:y val="-0.196418255343731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7575"/>
          </a:solidFill>
          <a:ln w="19050">
            <a:noFill/>
          </a:ln>
          <a:effectLst/>
        </c:spPr>
        <c:dLbl>
          <c:idx val="0"/>
          <c:layout>
            <c:manualLayout>
              <c:x val="0.10110893672537496"/>
              <c:y val="-0.196418255343731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lumMod val="75000"/>
            </a:schemeClr>
          </a:solidFill>
          <a:ln w="19050">
            <a:noFill/>
          </a:ln>
          <a:effectLst/>
        </c:spPr>
        <c:dLbl>
          <c:idx val="0"/>
          <c:layout>
            <c:manualLayout>
              <c:x val="0.10110893672537496"/>
              <c:y val="-0.196418255343731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343965565948092"/>
          <c:y val="0.20849220103986138"/>
          <c:w val="0.33312094549825105"/>
          <c:h val="0.59003397972133897"/>
        </c:manualLayout>
      </c:layout>
      <c:doughnutChart>
        <c:varyColors val="1"/>
        <c:ser>
          <c:idx val="0"/>
          <c:order val="0"/>
          <c:tx>
            <c:strRef>
              <c:f>'Pivot Table and Slicers '!$K$6</c:f>
              <c:strCache>
                <c:ptCount val="1"/>
                <c:pt idx="0">
                  <c:v>Total</c:v>
                </c:pt>
              </c:strCache>
            </c:strRef>
          </c:tx>
          <c:spPr>
            <a:ln>
              <a:noFill/>
            </a:ln>
          </c:spPr>
          <c:dPt>
            <c:idx val="0"/>
            <c:bubble3D val="0"/>
            <c:spPr>
              <a:solidFill>
                <a:srgbClr val="FF7575"/>
              </a:solidFill>
              <a:ln w="19050">
                <a:noFill/>
              </a:ln>
              <a:effectLst/>
            </c:spPr>
            <c:extLst>
              <c:ext xmlns:c16="http://schemas.microsoft.com/office/drawing/2014/chart" uri="{C3380CC4-5D6E-409C-BE32-E72D297353CC}">
                <c16:uniqueId val="{00000001-2557-4FF5-9369-BB22808673E1}"/>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2557-4FF5-9369-BB22808673E1}"/>
              </c:ext>
            </c:extLst>
          </c:dPt>
          <c:dLbls>
            <c:dLbl>
              <c:idx val="0"/>
              <c:layout>
                <c:manualLayout>
                  <c:x val="0.10110893672537496"/>
                  <c:y val="-0.1964182553437319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57-4FF5-9369-BB22808673E1}"/>
                </c:ext>
              </c:extLst>
            </c:dLbl>
            <c:dLbl>
              <c:idx val="1"/>
              <c:layout>
                <c:manualLayout>
                  <c:x val="0.10110893672537496"/>
                  <c:y val="-0.1964182553437319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57-4FF5-9369-BB22808673E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and Slicers '!$J$7:$J$8</c:f>
              <c:strCache>
                <c:ptCount val="2"/>
                <c:pt idx="0">
                  <c:v>Loss</c:v>
                </c:pt>
                <c:pt idx="1">
                  <c:v>Win</c:v>
                </c:pt>
              </c:strCache>
            </c:strRef>
          </c:cat>
          <c:val>
            <c:numRef>
              <c:f>'Pivot Table and Slicers '!$K$7:$K$8</c:f>
              <c:numCache>
                <c:formatCode>General</c:formatCode>
                <c:ptCount val="2"/>
                <c:pt idx="0">
                  <c:v>4</c:v>
                </c:pt>
                <c:pt idx="1">
                  <c:v>20</c:v>
                </c:pt>
              </c:numCache>
            </c:numRef>
          </c:val>
          <c:extLst>
            <c:ext xmlns:c16="http://schemas.microsoft.com/office/drawing/2014/chart" uri="{C3380CC4-5D6E-409C-BE32-E72D297353CC}">
              <c16:uniqueId val="{00000004-D4F8-4269-9DA2-AC9924F2B4F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 and Slicers !PivotTable3</c:name>
    <c:fmtId val="50"/>
  </c:pivotSource>
  <c:chart>
    <c:autoTitleDeleted val="0"/>
    <c:pivotFmts>
      <c:pivotFmt>
        <c:idx val="0"/>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717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and Slicers '!$D$6</c:f>
              <c:strCache>
                <c:ptCount val="1"/>
                <c:pt idx="0">
                  <c:v>Sum of Profit</c:v>
                </c:pt>
              </c:strCache>
            </c:strRef>
          </c:tx>
          <c:spPr>
            <a:ln w="28575" cap="rnd">
              <a:solidFill>
                <a:schemeClr val="accent5">
                  <a:lumMod val="75000"/>
                </a:schemeClr>
              </a:solidFill>
              <a:round/>
            </a:ln>
            <a:effectLst/>
          </c:spPr>
          <c:marker>
            <c:symbol val="none"/>
          </c:marker>
          <c:cat>
            <c:multiLvlStrRef>
              <c:f>'Pivot Table and Slicers '!$C$7:$C$17</c:f>
              <c:multiLvlStrCache>
                <c:ptCount val="8"/>
                <c:lvl>
                  <c:pt idx="0">
                    <c:v>Feb</c:v>
                  </c:pt>
                  <c:pt idx="1">
                    <c:v>May</c:v>
                  </c:pt>
                  <c:pt idx="2">
                    <c:v>Oct</c:v>
                  </c:pt>
                  <c:pt idx="3">
                    <c:v>Jun</c:v>
                  </c:pt>
                  <c:pt idx="4">
                    <c:v>Jul</c:v>
                  </c:pt>
                  <c:pt idx="5">
                    <c:v>Apr</c:v>
                  </c:pt>
                  <c:pt idx="6">
                    <c:v>Jun</c:v>
                  </c:pt>
                  <c:pt idx="7">
                    <c:v>Jul</c:v>
                  </c:pt>
                </c:lvl>
                <c:lvl>
                  <c:pt idx="0">
                    <c:v>2024</c:v>
                  </c:pt>
                  <c:pt idx="3">
                    <c:v>2025</c:v>
                  </c:pt>
                  <c:pt idx="5">
                    <c:v>2023</c:v>
                  </c:pt>
                </c:lvl>
              </c:multiLvlStrCache>
            </c:multiLvlStrRef>
          </c:cat>
          <c:val>
            <c:numRef>
              <c:f>'Pivot Table and Slicers '!$D$7:$D$17</c:f>
              <c:numCache>
                <c:formatCode>General</c:formatCode>
                <c:ptCount val="8"/>
                <c:pt idx="0">
                  <c:v>-74.86</c:v>
                </c:pt>
                <c:pt idx="1">
                  <c:v>17.54</c:v>
                </c:pt>
                <c:pt idx="2">
                  <c:v>15.23</c:v>
                </c:pt>
                <c:pt idx="3">
                  <c:v>-27.113800000000047</c:v>
                </c:pt>
                <c:pt idx="4">
                  <c:v>6229.8598000000002</c:v>
                </c:pt>
                <c:pt idx="5">
                  <c:v>349.92800000000034</c:v>
                </c:pt>
                <c:pt idx="6">
                  <c:v>-37.450000000000053</c:v>
                </c:pt>
                <c:pt idx="7">
                  <c:v>-87.399999999998016</c:v>
                </c:pt>
              </c:numCache>
            </c:numRef>
          </c:val>
          <c:smooth val="0"/>
          <c:extLst>
            <c:ext xmlns:c16="http://schemas.microsoft.com/office/drawing/2014/chart" uri="{C3380CC4-5D6E-409C-BE32-E72D297353CC}">
              <c16:uniqueId val="{0000000B-97D1-4C2C-B03F-73E0CF9CD8D2}"/>
            </c:ext>
          </c:extLst>
        </c:ser>
        <c:ser>
          <c:idx val="1"/>
          <c:order val="1"/>
          <c:tx>
            <c:strRef>
              <c:f>'Pivot Table and Slicers '!$E$6</c:f>
              <c:strCache>
                <c:ptCount val="1"/>
                <c:pt idx="0">
                  <c:v>Sum of points/pips gained</c:v>
                </c:pt>
              </c:strCache>
            </c:strRef>
          </c:tx>
          <c:spPr>
            <a:ln w="28575" cap="rnd">
              <a:solidFill>
                <a:srgbClr val="FF7171"/>
              </a:solidFill>
              <a:round/>
            </a:ln>
            <a:effectLst/>
          </c:spPr>
          <c:marker>
            <c:symbol val="none"/>
          </c:marker>
          <c:cat>
            <c:multiLvlStrRef>
              <c:f>'Pivot Table and Slicers '!$C$7:$C$17</c:f>
              <c:multiLvlStrCache>
                <c:ptCount val="8"/>
                <c:lvl>
                  <c:pt idx="0">
                    <c:v>Feb</c:v>
                  </c:pt>
                  <c:pt idx="1">
                    <c:v>May</c:v>
                  </c:pt>
                  <c:pt idx="2">
                    <c:v>Oct</c:v>
                  </c:pt>
                  <c:pt idx="3">
                    <c:v>Jun</c:v>
                  </c:pt>
                  <c:pt idx="4">
                    <c:v>Jul</c:v>
                  </c:pt>
                  <c:pt idx="5">
                    <c:v>Apr</c:v>
                  </c:pt>
                  <c:pt idx="6">
                    <c:v>Jun</c:v>
                  </c:pt>
                  <c:pt idx="7">
                    <c:v>Jul</c:v>
                  </c:pt>
                </c:lvl>
                <c:lvl>
                  <c:pt idx="0">
                    <c:v>2024</c:v>
                  </c:pt>
                  <c:pt idx="3">
                    <c:v>2025</c:v>
                  </c:pt>
                  <c:pt idx="5">
                    <c:v>2023</c:v>
                  </c:pt>
                </c:lvl>
              </c:multiLvlStrCache>
            </c:multiLvlStrRef>
          </c:cat>
          <c:val>
            <c:numRef>
              <c:f>'Pivot Table and Slicers '!$E$7:$E$17</c:f>
              <c:numCache>
                <c:formatCode>General</c:formatCode>
                <c:ptCount val="8"/>
                <c:pt idx="0">
                  <c:v>-7486</c:v>
                </c:pt>
                <c:pt idx="1">
                  <c:v>1754</c:v>
                </c:pt>
                <c:pt idx="2">
                  <c:v>1523</c:v>
                </c:pt>
                <c:pt idx="3">
                  <c:v>-2711.3800000000047</c:v>
                </c:pt>
                <c:pt idx="4">
                  <c:v>18901.110000000008</c:v>
                </c:pt>
                <c:pt idx="5">
                  <c:v>17160.199999999997</c:v>
                </c:pt>
                <c:pt idx="6">
                  <c:v>-12.999999999999545</c:v>
                </c:pt>
                <c:pt idx="7">
                  <c:v>-87.399999999998016</c:v>
                </c:pt>
              </c:numCache>
            </c:numRef>
          </c:val>
          <c:smooth val="0"/>
          <c:extLst>
            <c:ext xmlns:c16="http://schemas.microsoft.com/office/drawing/2014/chart" uri="{C3380CC4-5D6E-409C-BE32-E72D297353CC}">
              <c16:uniqueId val="{0000000C-97D1-4C2C-B03F-73E0CF9CD8D2}"/>
            </c:ext>
          </c:extLst>
        </c:ser>
        <c:dLbls>
          <c:showLegendKey val="0"/>
          <c:showVal val="0"/>
          <c:showCatName val="0"/>
          <c:showSerName val="0"/>
          <c:showPercent val="0"/>
          <c:showBubbleSize val="0"/>
        </c:dLbls>
        <c:smooth val="0"/>
        <c:axId val="293141999"/>
        <c:axId val="293142479"/>
      </c:lineChart>
      <c:catAx>
        <c:axId val="293141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142479"/>
        <c:crosses val="autoZero"/>
        <c:auto val="1"/>
        <c:lblAlgn val="ctr"/>
        <c:lblOffset val="100"/>
        <c:noMultiLvlLbl val="0"/>
      </c:catAx>
      <c:valAx>
        <c:axId val="293142479"/>
        <c:scaling>
          <c:orientation val="minMax"/>
        </c:scaling>
        <c:delete val="1"/>
        <c:axPos val="l"/>
        <c:numFmt formatCode="General" sourceLinked="1"/>
        <c:majorTickMark val="out"/>
        <c:minorTickMark val="none"/>
        <c:tickLblPos val="nextTo"/>
        <c:crossAx val="293141999"/>
        <c:crosses val="autoZero"/>
        <c:crossBetween val="between"/>
      </c:valAx>
      <c:spPr>
        <a:noFill/>
        <a:ln>
          <a:noFill/>
        </a:ln>
        <a:effectLst/>
      </c:spPr>
    </c:plotArea>
    <c:legend>
      <c:legendPos val="b"/>
      <c:layout>
        <c:manualLayout>
          <c:xMode val="edge"/>
          <c:yMode val="edge"/>
          <c:x val="0.25887728459530024"/>
          <c:y val="0.81219749705199895"/>
          <c:w val="0.54316797214969537"/>
          <c:h val="0.18780250294800108"/>
        </c:manualLayout>
      </c:layout>
      <c:overlay val="0"/>
      <c:spPr>
        <a:noFill/>
        <a:ln cmpd="sng">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 and Slicers !PivotTable1</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Pairs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layout>
            <c:manualLayout>
              <c:x val="6.8693745598873313E-2"/>
              <c:y val="-0.27064195100612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7171"/>
          </a:solidFill>
          <a:ln w="19050">
            <a:solidFill>
              <a:schemeClr val="lt1"/>
            </a:solidFill>
          </a:ln>
          <a:effectLst/>
        </c:spPr>
        <c:dLbl>
          <c:idx val="0"/>
          <c:layout>
            <c:manualLayout>
              <c:x val="-5.1336982267460488E-2"/>
              <c:y val="-0.145483377077865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 and Slicers '!$H$6</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5444-44B9-95A5-CAD5CAD5D1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C1-4B3F-937D-EFA21A2EFF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C1-4B3F-937D-EFA21A2EFF63}"/>
              </c:ext>
            </c:extLst>
          </c:dPt>
          <c:dPt>
            <c:idx val="3"/>
            <c:bubble3D val="0"/>
            <c:spPr>
              <a:solidFill>
                <a:srgbClr val="FF7171"/>
              </a:solidFill>
              <a:ln w="19050">
                <a:solidFill>
                  <a:schemeClr val="lt1"/>
                </a:solidFill>
              </a:ln>
              <a:effectLst/>
            </c:spPr>
            <c:extLst>
              <c:ext xmlns:c16="http://schemas.microsoft.com/office/drawing/2014/chart" uri="{C3380CC4-5D6E-409C-BE32-E72D297353CC}">
                <c16:uniqueId val="{00000003-5444-44B9-95A5-CAD5CAD5D1A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0C1-4B3F-937D-EFA21A2EFF6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0C1-4B3F-937D-EFA21A2EFF63}"/>
              </c:ext>
            </c:extLst>
          </c:dPt>
          <c:dLbls>
            <c:dLbl>
              <c:idx val="0"/>
              <c:layout>
                <c:manualLayout>
                  <c:x val="6.8693745598873313E-2"/>
                  <c:y val="-0.270641951006124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44-44B9-95A5-CAD5CAD5D1AA}"/>
                </c:ext>
              </c:extLst>
            </c:dLbl>
            <c:dLbl>
              <c:idx val="3"/>
              <c:layout>
                <c:manualLayout>
                  <c:x val="-5.1336982267460488E-2"/>
                  <c:y val="-0.145483377077865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44-44B9-95A5-CAD5CAD5D1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 and Slicers '!$G$7:$G$12</c:f>
              <c:strCache>
                <c:ptCount val="6"/>
                <c:pt idx="0">
                  <c:v>BTCUSD</c:v>
                </c:pt>
                <c:pt idx="1">
                  <c:v>EURJPY</c:v>
                </c:pt>
                <c:pt idx="2">
                  <c:v>GBPUSD</c:v>
                </c:pt>
                <c:pt idx="3">
                  <c:v>XAUUSD</c:v>
                </c:pt>
                <c:pt idx="4">
                  <c:v>EURUSD</c:v>
                </c:pt>
                <c:pt idx="5">
                  <c:v>ETHUSD</c:v>
                </c:pt>
              </c:strCache>
            </c:strRef>
          </c:cat>
          <c:val>
            <c:numRef>
              <c:f>'Pivot Table and Slicers '!$H$7:$H$12</c:f>
              <c:numCache>
                <c:formatCode>General</c:formatCode>
                <c:ptCount val="6"/>
                <c:pt idx="0">
                  <c:v>5994.7950000000001</c:v>
                </c:pt>
                <c:pt idx="1">
                  <c:v>21.050000000000743</c:v>
                </c:pt>
                <c:pt idx="2">
                  <c:v>12.240000000000251</c:v>
                </c:pt>
                <c:pt idx="3">
                  <c:v>337.6880000000001</c:v>
                </c:pt>
                <c:pt idx="4">
                  <c:v>-145.89999999999881</c:v>
                </c:pt>
                <c:pt idx="5">
                  <c:v>165.86100000000033</c:v>
                </c:pt>
              </c:numCache>
            </c:numRef>
          </c:val>
          <c:extLst>
            <c:ext xmlns:c16="http://schemas.microsoft.com/office/drawing/2014/chart" uri="{C3380CC4-5D6E-409C-BE32-E72D297353CC}">
              <c16:uniqueId val="{00000000-5444-44B9-95A5-CAD5CAD5D1A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 and Slicers !PivotTable6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002060"/>
                </a:solidFill>
              </a:rPr>
              <a:t>Total Win / Loss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7575"/>
          </a:solidFill>
          <a:ln w="19050">
            <a:noFill/>
          </a:ln>
          <a:effectLst/>
        </c:spPr>
        <c:dLbl>
          <c:idx val="0"/>
          <c:layout>
            <c:manualLayout>
              <c:x val="-7.175472928897586E-2"/>
              <c:y val="0.127094165222414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75000"/>
            </a:schemeClr>
          </a:solidFill>
          <a:ln w="19050">
            <a:noFill/>
          </a:ln>
          <a:effectLst/>
        </c:spPr>
        <c:dLbl>
          <c:idx val="0"/>
          <c:layout>
            <c:manualLayout>
              <c:x val="0.10110893672537496"/>
              <c:y val="-0.196418255343731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75000"/>
            </a:schemeClr>
          </a:solidFill>
          <a:ln w="19050">
            <a:noFill/>
          </a:ln>
          <a:effectLst/>
        </c:spPr>
        <c:dLbl>
          <c:idx val="0"/>
          <c:layout>
            <c:manualLayout>
              <c:x val="0.10110893672537496"/>
              <c:y val="-0.1964182553437319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7575"/>
          </a:solidFill>
          <a:ln w="19050">
            <a:noFill/>
          </a:ln>
          <a:effectLst/>
        </c:spPr>
        <c:dLbl>
          <c:idx val="0"/>
          <c:layout>
            <c:manualLayout>
              <c:x val="-7.175472928897586E-2"/>
              <c:y val="0.127094165222414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717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7171"/>
          </a:solidFill>
          <a:ln w="19050">
            <a:noFill/>
          </a:ln>
          <a:effectLst/>
        </c:spPr>
        <c:dLbl>
          <c:idx val="0"/>
          <c:layout>
            <c:manualLayout>
              <c:x val="0.17173028159615633"/>
              <c:y val="-9.15619405190244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lumMod val="75000"/>
            </a:schemeClr>
          </a:solidFill>
          <a:ln w="19050">
            <a:noFill/>
          </a:ln>
          <a:effectLst/>
        </c:spPr>
        <c:dLbl>
          <c:idx val="0"/>
          <c:layout>
            <c:manualLayout>
              <c:x val="-7.175472928897586E-2"/>
              <c:y val="0.1270941652224147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343965565948092"/>
          <c:y val="0.20849220103986138"/>
          <c:w val="0.33312094549825105"/>
          <c:h val="0.59003397972133897"/>
        </c:manualLayout>
      </c:layout>
      <c:doughnutChart>
        <c:varyColors val="1"/>
        <c:ser>
          <c:idx val="0"/>
          <c:order val="0"/>
          <c:tx>
            <c:strRef>
              <c:f>'Pivot Table and Slicers '!$K$6</c:f>
              <c:strCache>
                <c:ptCount val="1"/>
                <c:pt idx="0">
                  <c:v>Total</c:v>
                </c:pt>
              </c:strCache>
            </c:strRef>
          </c:tx>
          <c:spPr>
            <a:solidFill>
              <a:srgbClr val="FF7171"/>
            </a:solidFill>
            <a:ln>
              <a:noFill/>
            </a:ln>
          </c:spPr>
          <c:dPt>
            <c:idx val="0"/>
            <c:bubble3D val="0"/>
            <c:spPr>
              <a:solidFill>
                <a:srgbClr val="FF7171"/>
              </a:solidFill>
              <a:ln w="19050">
                <a:noFill/>
              </a:ln>
              <a:effectLst/>
            </c:spPr>
            <c:extLst>
              <c:ext xmlns:c16="http://schemas.microsoft.com/office/drawing/2014/chart" uri="{C3380CC4-5D6E-409C-BE32-E72D297353CC}">
                <c16:uniqueId val="{00000001-556E-4AEC-96C7-B2D452B733FF}"/>
              </c:ext>
            </c:extLst>
          </c:dPt>
          <c:dPt>
            <c:idx val="1"/>
            <c:bubble3D val="0"/>
            <c:spPr>
              <a:solidFill>
                <a:schemeClr val="accent5">
                  <a:lumMod val="75000"/>
                </a:schemeClr>
              </a:solidFill>
              <a:ln w="19050">
                <a:noFill/>
              </a:ln>
              <a:effectLst/>
            </c:spPr>
            <c:extLst>
              <c:ext xmlns:c16="http://schemas.microsoft.com/office/drawing/2014/chart" uri="{C3380CC4-5D6E-409C-BE32-E72D297353CC}">
                <c16:uniqueId val="{00000003-556E-4AEC-96C7-B2D452B733FF}"/>
              </c:ext>
            </c:extLst>
          </c:dPt>
          <c:dLbls>
            <c:dLbl>
              <c:idx val="0"/>
              <c:layout>
                <c:manualLayout>
                  <c:x val="0.17173028159615633"/>
                  <c:y val="-9.15619405190244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6E-4AEC-96C7-B2D452B733FF}"/>
                </c:ext>
              </c:extLst>
            </c:dLbl>
            <c:dLbl>
              <c:idx val="1"/>
              <c:layout>
                <c:manualLayout>
                  <c:x val="-7.175472928897586E-2"/>
                  <c:y val="0.1270941652224147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6E-4AEC-96C7-B2D452B733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and Slicers '!$J$7:$J$8</c:f>
              <c:strCache>
                <c:ptCount val="2"/>
                <c:pt idx="0">
                  <c:v>Loss</c:v>
                </c:pt>
                <c:pt idx="1">
                  <c:v>Win</c:v>
                </c:pt>
              </c:strCache>
            </c:strRef>
          </c:cat>
          <c:val>
            <c:numRef>
              <c:f>'Pivot Table and Slicers '!$K$7:$K$8</c:f>
              <c:numCache>
                <c:formatCode>General</c:formatCode>
                <c:ptCount val="2"/>
                <c:pt idx="0">
                  <c:v>4</c:v>
                </c:pt>
                <c:pt idx="1">
                  <c:v>20</c:v>
                </c:pt>
              </c:numCache>
            </c:numRef>
          </c:val>
          <c:extLst>
            <c:ext xmlns:c16="http://schemas.microsoft.com/office/drawing/2014/chart" uri="{C3380CC4-5D6E-409C-BE32-E72D297353CC}">
              <c16:uniqueId val="{00000004-8A3A-4A8C-BF8E-0ED07EF524A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 and Slicers !PivotTable3</c:name>
    <c:fmtId val="56"/>
  </c:pivotSource>
  <c:chart>
    <c:autoTitleDeleted val="0"/>
    <c:pivotFmts>
      <c:pivotFmt>
        <c:idx val="0"/>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717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717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717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129391602399318E-2"/>
          <c:y val="4.9180327868852458E-2"/>
          <c:w val="0.90574121679520136"/>
          <c:h val="0.75478077535390042"/>
        </c:manualLayout>
      </c:layout>
      <c:lineChart>
        <c:grouping val="standard"/>
        <c:varyColors val="0"/>
        <c:ser>
          <c:idx val="0"/>
          <c:order val="0"/>
          <c:tx>
            <c:strRef>
              <c:f>'Pivot Table and Slicers '!$D$6</c:f>
              <c:strCache>
                <c:ptCount val="1"/>
                <c:pt idx="0">
                  <c:v>Sum of Profit</c:v>
                </c:pt>
              </c:strCache>
            </c:strRef>
          </c:tx>
          <c:spPr>
            <a:ln w="28575" cap="rnd">
              <a:solidFill>
                <a:schemeClr val="accent5">
                  <a:lumMod val="75000"/>
                </a:schemeClr>
              </a:solidFill>
              <a:round/>
            </a:ln>
            <a:effectLst/>
          </c:spPr>
          <c:marker>
            <c:symbol val="none"/>
          </c:marker>
          <c:cat>
            <c:multiLvlStrRef>
              <c:f>'Pivot Table and Slicers '!$C$7:$C$17</c:f>
              <c:multiLvlStrCache>
                <c:ptCount val="8"/>
                <c:lvl>
                  <c:pt idx="0">
                    <c:v>Feb</c:v>
                  </c:pt>
                  <c:pt idx="1">
                    <c:v>May</c:v>
                  </c:pt>
                  <c:pt idx="2">
                    <c:v>Oct</c:v>
                  </c:pt>
                  <c:pt idx="3">
                    <c:v>Jun</c:v>
                  </c:pt>
                  <c:pt idx="4">
                    <c:v>Jul</c:v>
                  </c:pt>
                  <c:pt idx="5">
                    <c:v>Apr</c:v>
                  </c:pt>
                  <c:pt idx="6">
                    <c:v>Jun</c:v>
                  </c:pt>
                  <c:pt idx="7">
                    <c:v>Jul</c:v>
                  </c:pt>
                </c:lvl>
                <c:lvl>
                  <c:pt idx="0">
                    <c:v>2024</c:v>
                  </c:pt>
                  <c:pt idx="3">
                    <c:v>2025</c:v>
                  </c:pt>
                  <c:pt idx="5">
                    <c:v>2023</c:v>
                  </c:pt>
                </c:lvl>
              </c:multiLvlStrCache>
            </c:multiLvlStrRef>
          </c:cat>
          <c:val>
            <c:numRef>
              <c:f>'Pivot Table and Slicers '!$D$7:$D$17</c:f>
              <c:numCache>
                <c:formatCode>General</c:formatCode>
                <c:ptCount val="8"/>
                <c:pt idx="0">
                  <c:v>-74.86</c:v>
                </c:pt>
                <c:pt idx="1">
                  <c:v>17.54</c:v>
                </c:pt>
                <c:pt idx="2">
                  <c:v>15.23</c:v>
                </c:pt>
                <c:pt idx="3">
                  <c:v>-27.113800000000047</c:v>
                </c:pt>
                <c:pt idx="4">
                  <c:v>6229.8598000000002</c:v>
                </c:pt>
                <c:pt idx="5">
                  <c:v>349.92800000000034</c:v>
                </c:pt>
                <c:pt idx="6">
                  <c:v>-37.450000000000053</c:v>
                </c:pt>
                <c:pt idx="7">
                  <c:v>-87.399999999998016</c:v>
                </c:pt>
              </c:numCache>
            </c:numRef>
          </c:val>
          <c:smooth val="0"/>
          <c:extLst>
            <c:ext xmlns:c16="http://schemas.microsoft.com/office/drawing/2014/chart" uri="{C3380CC4-5D6E-409C-BE32-E72D297353CC}">
              <c16:uniqueId val="{00000000-690E-40EC-BDDC-989195CC5288}"/>
            </c:ext>
          </c:extLst>
        </c:ser>
        <c:ser>
          <c:idx val="1"/>
          <c:order val="1"/>
          <c:tx>
            <c:strRef>
              <c:f>'Pivot Table and Slicers '!$E$6</c:f>
              <c:strCache>
                <c:ptCount val="1"/>
                <c:pt idx="0">
                  <c:v>Sum of points/pips gained</c:v>
                </c:pt>
              </c:strCache>
            </c:strRef>
          </c:tx>
          <c:spPr>
            <a:ln w="28575" cap="rnd">
              <a:solidFill>
                <a:srgbClr val="FF717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 and Slicers '!$C$7:$C$17</c:f>
              <c:multiLvlStrCache>
                <c:ptCount val="8"/>
                <c:lvl>
                  <c:pt idx="0">
                    <c:v>Feb</c:v>
                  </c:pt>
                  <c:pt idx="1">
                    <c:v>May</c:v>
                  </c:pt>
                  <c:pt idx="2">
                    <c:v>Oct</c:v>
                  </c:pt>
                  <c:pt idx="3">
                    <c:v>Jun</c:v>
                  </c:pt>
                  <c:pt idx="4">
                    <c:v>Jul</c:v>
                  </c:pt>
                  <c:pt idx="5">
                    <c:v>Apr</c:v>
                  </c:pt>
                  <c:pt idx="6">
                    <c:v>Jun</c:v>
                  </c:pt>
                  <c:pt idx="7">
                    <c:v>Jul</c:v>
                  </c:pt>
                </c:lvl>
                <c:lvl>
                  <c:pt idx="0">
                    <c:v>2024</c:v>
                  </c:pt>
                  <c:pt idx="3">
                    <c:v>2025</c:v>
                  </c:pt>
                  <c:pt idx="5">
                    <c:v>2023</c:v>
                  </c:pt>
                </c:lvl>
              </c:multiLvlStrCache>
            </c:multiLvlStrRef>
          </c:cat>
          <c:val>
            <c:numRef>
              <c:f>'Pivot Table and Slicers '!$E$7:$E$17</c:f>
              <c:numCache>
                <c:formatCode>General</c:formatCode>
                <c:ptCount val="8"/>
                <c:pt idx="0">
                  <c:v>-7486</c:v>
                </c:pt>
                <c:pt idx="1">
                  <c:v>1754</c:v>
                </c:pt>
                <c:pt idx="2">
                  <c:v>1523</c:v>
                </c:pt>
                <c:pt idx="3">
                  <c:v>-2711.3800000000047</c:v>
                </c:pt>
                <c:pt idx="4">
                  <c:v>18901.110000000008</c:v>
                </c:pt>
                <c:pt idx="5">
                  <c:v>17160.199999999997</c:v>
                </c:pt>
                <c:pt idx="6">
                  <c:v>-12.999999999999545</c:v>
                </c:pt>
                <c:pt idx="7">
                  <c:v>-87.399999999998016</c:v>
                </c:pt>
              </c:numCache>
            </c:numRef>
          </c:val>
          <c:smooth val="0"/>
          <c:extLst>
            <c:ext xmlns:c16="http://schemas.microsoft.com/office/drawing/2014/chart" uri="{C3380CC4-5D6E-409C-BE32-E72D297353CC}">
              <c16:uniqueId val="{00000001-690E-40EC-BDDC-989195CC5288}"/>
            </c:ext>
          </c:extLst>
        </c:ser>
        <c:dLbls>
          <c:showLegendKey val="0"/>
          <c:showVal val="0"/>
          <c:showCatName val="0"/>
          <c:showSerName val="0"/>
          <c:showPercent val="0"/>
          <c:showBubbleSize val="0"/>
        </c:dLbls>
        <c:smooth val="0"/>
        <c:axId val="293141999"/>
        <c:axId val="293142479"/>
      </c:lineChart>
      <c:catAx>
        <c:axId val="293141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142479"/>
        <c:crosses val="autoZero"/>
        <c:auto val="1"/>
        <c:lblAlgn val="ctr"/>
        <c:lblOffset val="100"/>
        <c:noMultiLvlLbl val="0"/>
      </c:catAx>
      <c:valAx>
        <c:axId val="293142479"/>
        <c:scaling>
          <c:orientation val="minMax"/>
        </c:scaling>
        <c:delete val="1"/>
        <c:axPos val="l"/>
        <c:numFmt formatCode="General" sourceLinked="1"/>
        <c:majorTickMark val="out"/>
        <c:minorTickMark val="none"/>
        <c:tickLblPos val="nextTo"/>
        <c:crossAx val="293141999"/>
        <c:crosses val="autoZero"/>
        <c:crossBetween val="between"/>
      </c:valAx>
      <c:spPr>
        <a:noFill/>
        <a:ln>
          <a:noFill/>
        </a:ln>
        <a:effectLst/>
      </c:spPr>
    </c:plotArea>
    <c:legend>
      <c:legendPos val="b"/>
      <c:layout>
        <c:manualLayout>
          <c:xMode val="edge"/>
          <c:yMode val="edge"/>
          <c:x val="0.25887728459530024"/>
          <c:y val="0.81219749705199895"/>
          <c:w val="0.54316797214969537"/>
          <c:h val="0.18780250294800108"/>
        </c:manualLayout>
      </c:layout>
      <c:overlay val="0"/>
      <c:spPr>
        <a:noFill/>
        <a:ln cmpd="sng">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[Excel_Dashboard_Project.xlsx]Pivot Table and Slicers !PivotTable1</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2060"/>
                </a:solidFill>
              </a:rPr>
              <a:t>Profit By Pairs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layout>
            <c:manualLayout>
              <c:x val="6.8693745598873313E-2"/>
              <c:y val="-0.270641951006124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7171"/>
          </a:solidFill>
          <a:ln w="19050">
            <a:solidFill>
              <a:schemeClr val="lt1"/>
            </a:solidFill>
          </a:ln>
          <a:effectLst/>
        </c:spPr>
        <c:dLbl>
          <c:idx val="0"/>
          <c:layout>
            <c:manualLayout>
              <c:x val="-5.1336982267460488E-2"/>
              <c:y val="-0.145483377077865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FF717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5">
              <a:lumMod val="75000"/>
            </a:schemeClr>
          </a:solidFill>
          <a:ln w="19050">
            <a:solidFill>
              <a:schemeClr val="lt1"/>
            </a:solidFill>
          </a:ln>
          <a:effectLst/>
        </c:spPr>
        <c:dLbl>
          <c:idx val="0"/>
          <c:layout>
            <c:manualLayout>
              <c:x val="-0.34780578898225956"/>
              <c:y val="-9.78559529689783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3.4163928038406961E-2"/>
              <c:y val="-3.165205201622524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5.224438856907597E-2"/>
              <c:y val="8.71731090431877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FF7171"/>
          </a:solidFill>
          <a:ln w="19050">
            <a:solidFill>
              <a:schemeClr val="lt1"/>
            </a:solidFill>
          </a:ln>
          <a:effectLst/>
        </c:spPr>
        <c:dLbl>
          <c:idx val="0"/>
          <c:layout>
            <c:manualLayout>
              <c:x val="2.9683789526304934E-4"/>
              <c:y val="-7.98568360773085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3.8872898240661091E-2"/>
              <c:y val="-6.278543307086616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8.0269010491335557E-2"/>
              <c:y val="-1.4892030541636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4187914010748657"/>
          <c:y val="0.29151276544977334"/>
          <c:w val="0.434573435673482"/>
          <c:h val="0.70519416607015029"/>
        </c:manualLayout>
      </c:layout>
      <c:pieChart>
        <c:varyColors val="1"/>
        <c:ser>
          <c:idx val="0"/>
          <c:order val="0"/>
          <c:tx>
            <c:strRef>
              <c:f>'Pivot Table and Slicers '!$H$6</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EF8A-40BE-B398-11131ADA4A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8A-40BE-B398-11131ADA4A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8A-40BE-B398-11131ADA4A92}"/>
              </c:ext>
            </c:extLst>
          </c:dPt>
          <c:dPt>
            <c:idx val="3"/>
            <c:bubble3D val="0"/>
            <c:spPr>
              <a:solidFill>
                <a:srgbClr val="FF7171"/>
              </a:solidFill>
              <a:ln w="19050">
                <a:solidFill>
                  <a:schemeClr val="lt1"/>
                </a:solidFill>
              </a:ln>
              <a:effectLst/>
            </c:spPr>
            <c:extLst>
              <c:ext xmlns:c16="http://schemas.microsoft.com/office/drawing/2014/chart" uri="{C3380CC4-5D6E-409C-BE32-E72D297353CC}">
                <c16:uniqueId val="{00000007-EF8A-40BE-B398-11131ADA4A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F8A-40BE-B398-11131ADA4A9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F8A-40BE-B398-11131ADA4A92}"/>
              </c:ext>
            </c:extLst>
          </c:dPt>
          <c:dLbls>
            <c:dLbl>
              <c:idx val="0"/>
              <c:layout>
                <c:manualLayout>
                  <c:x val="-0.34780578898225956"/>
                  <c:y val="-9.78559529689783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F8A-40BE-B398-11131ADA4A92}"/>
                </c:ext>
              </c:extLst>
            </c:dLbl>
            <c:dLbl>
              <c:idx val="1"/>
              <c:layout>
                <c:manualLayout>
                  <c:x val="-3.4163928038406961E-2"/>
                  <c:y val="-3.165205201622524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F8A-40BE-B398-11131ADA4A92}"/>
                </c:ext>
              </c:extLst>
            </c:dLbl>
            <c:dLbl>
              <c:idx val="2"/>
              <c:layout>
                <c:manualLayout>
                  <c:x val="-5.224438856907597E-2"/>
                  <c:y val="8.71731090431877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F8A-40BE-B398-11131ADA4A92}"/>
                </c:ext>
              </c:extLst>
            </c:dLbl>
            <c:dLbl>
              <c:idx val="3"/>
              <c:layout>
                <c:manualLayout>
                  <c:x val="2.9683789526304934E-4"/>
                  <c:y val="-7.98568360773085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F8A-40BE-B398-11131ADA4A92}"/>
                </c:ext>
              </c:extLst>
            </c:dLbl>
            <c:dLbl>
              <c:idx val="4"/>
              <c:layout>
                <c:manualLayout>
                  <c:x val="3.8872898240661091E-2"/>
                  <c:y val="-6.27854330708661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F8A-40BE-B398-11131ADA4A92}"/>
                </c:ext>
              </c:extLst>
            </c:dLbl>
            <c:dLbl>
              <c:idx val="5"/>
              <c:layout>
                <c:manualLayout>
                  <c:x val="8.0269010491335557E-2"/>
                  <c:y val="-1.48920305416368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F8A-40BE-B398-11131ADA4A9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and Slicers '!$G$7:$G$12</c:f>
              <c:strCache>
                <c:ptCount val="6"/>
                <c:pt idx="0">
                  <c:v>BTCUSD</c:v>
                </c:pt>
                <c:pt idx="1">
                  <c:v>EURJPY</c:v>
                </c:pt>
                <c:pt idx="2">
                  <c:v>GBPUSD</c:v>
                </c:pt>
                <c:pt idx="3">
                  <c:v>XAUUSD</c:v>
                </c:pt>
                <c:pt idx="4">
                  <c:v>EURUSD</c:v>
                </c:pt>
                <c:pt idx="5">
                  <c:v>ETHUSD</c:v>
                </c:pt>
              </c:strCache>
            </c:strRef>
          </c:cat>
          <c:val>
            <c:numRef>
              <c:f>'Pivot Table and Slicers '!$H$7:$H$12</c:f>
              <c:numCache>
                <c:formatCode>General</c:formatCode>
                <c:ptCount val="6"/>
                <c:pt idx="0">
                  <c:v>5994.7950000000001</c:v>
                </c:pt>
                <c:pt idx="1">
                  <c:v>21.050000000000743</c:v>
                </c:pt>
                <c:pt idx="2">
                  <c:v>12.240000000000251</c:v>
                </c:pt>
                <c:pt idx="3">
                  <c:v>337.6880000000001</c:v>
                </c:pt>
                <c:pt idx="4">
                  <c:v>-145.89999999999881</c:v>
                </c:pt>
                <c:pt idx="5">
                  <c:v>165.86100000000033</c:v>
                </c:pt>
              </c:numCache>
            </c:numRef>
          </c:val>
          <c:extLst>
            <c:ext xmlns:c16="http://schemas.microsoft.com/office/drawing/2014/chart" uri="{C3380CC4-5D6E-409C-BE32-E72D297353CC}">
              <c16:uniqueId val="{0000000C-EF8A-40BE-B398-11131ADA4A9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723900</xdr:colOff>
      <xdr:row>0</xdr:row>
      <xdr:rowOff>68580</xdr:rowOff>
    </xdr:from>
    <xdr:to>
      <xdr:col>5</xdr:col>
      <xdr:colOff>922020</xdr:colOff>
      <xdr:row>2</xdr:row>
      <xdr:rowOff>45720</xdr:rowOff>
    </xdr:to>
    <xdr:sp macro="" textlink="">
      <xdr:nvSpPr>
        <xdr:cNvPr id="17" name="Rectangle: Rounded Corners 16">
          <a:extLst>
            <a:ext uri="{FF2B5EF4-FFF2-40B4-BE49-F238E27FC236}">
              <a16:creationId xmlns:a16="http://schemas.microsoft.com/office/drawing/2014/main" id="{29B97B6D-D071-1621-4D4A-FF2704979136}"/>
            </a:ext>
          </a:extLst>
        </xdr:cNvPr>
        <xdr:cNvSpPr/>
      </xdr:nvSpPr>
      <xdr:spPr>
        <a:xfrm>
          <a:off x="1607820" y="68580"/>
          <a:ext cx="3619500" cy="342900"/>
        </a:xfrm>
        <a:prstGeom prst="roundRect">
          <a:avLst>
            <a:gd name="adj" fmla="val 5000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bg1"/>
              </a:solidFill>
            </a:rPr>
            <a:t>              </a:t>
          </a:r>
          <a:r>
            <a:rPr lang="en-IN" sz="1100" b="1" baseline="0">
              <a:solidFill>
                <a:schemeClr val="bg1"/>
              </a:solidFill>
            </a:rPr>
            <a:t>                </a:t>
          </a:r>
          <a:r>
            <a:rPr lang="en-IN" sz="1100" b="1">
              <a:solidFill>
                <a:schemeClr val="bg1"/>
              </a:solidFill>
            </a:rPr>
            <a:t> PROFI</a:t>
          </a:r>
          <a:r>
            <a:rPr lang="en-IN" sz="1100" b="1" baseline="0">
              <a:solidFill>
                <a:schemeClr val="bg1"/>
              </a:solidFill>
            </a:rPr>
            <a:t>T CALCULATION</a:t>
          </a:r>
        </a:p>
        <a:p>
          <a:pPr algn="l"/>
          <a:endParaRPr lang="en-IN" sz="11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701040</xdr:colOff>
      <xdr:row>28</xdr:row>
      <xdr:rowOff>129540</xdr:rowOff>
    </xdr:from>
    <xdr:to>
      <xdr:col>13</xdr:col>
      <xdr:colOff>160020</xdr:colOff>
      <xdr:row>40</xdr:row>
      <xdr:rowOff>114300</xdr:rowOff>
    </xdr:to>
    <xdr:graphicFrame macro="">
      <xdr:nvGraphicFramePr>
        <xdr:cNvPr id="10" name="Chart 9">
          <a:extLst>
            <a:ext uri="{FF2B5EF4-FFF2-40B4-BE49-F238E27FC236}">
              <a16:creationId xmlns:a16="http://schemas.microsoft.com/office/drawing/2014/main" id="{0400BB1C-0EED-E579-3530-8628F00976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289560</xdr:colOff>
      <xdr:row>20</xdr:row>
      <xdr:rowOff>60961</xdr:rowOff>
    </xdr:from>
    <xdr:to>
      <xdr:col>9</xdr:col>
      <xdr:colOff>457200</xdr:colOff>
      <xdr:row>25</xdr:row>
      <xdr:rowOff>76201</xdr:rowOff>
    </xdr:to>
    <mc:AlternateContent xmlns:mc="http://schemas.openxmlformats.org/markup-compatibility/2006" xmlns:a14="http://schemas.microsoft.com/office/drawing/2010/main">
      <mc:Choice Requires="a14">
        <xdr:graphicFrame macro="">
          <xdr:nvGraphicFramePr>
            <xdr:cNvPr id="9" name="Win/Loss">
              <a:extLst>
                <a:ext uri="{FF2B5EF4-FFF2-40B4-BE49-F238E27FC236}">
                  <a16:creationId xmlns:a16="http://schemas.microsoft.com/office/drawing/2014/main" id="{024E3341-FA54-31CC-8D38-4D45919630EB}"/>
                </a:ext>
              </a:extLst>
            </xdr:cNvPr>
            <xdr:cNvGraphicFramePr/>
          </xdr:nvGraphicFramePr>
          <xdr:xfrm>
            <a:off x="0" y="0"/>
            <a:ext cx="0" cy="0"/>
          </xdr:xfrm>
          <a:graphic>
            <a:graphicData uri="http://schemas.microsoft.com/office/drawing/2010/slicer">
              <sle:slicer xmlns:sle="http://schemas.microsoft.com/office/drawing/2010/slicer" name="Win/Loss"/>
            </a:graphicData>
          </a:graphic>
        </xdr:graphicFrame>
      </mc:Choice>
      <mc:Fallback xmlns="">
        <xdr:sp macro="" textlink="">
          <xdr:nvSpPr>
            <xdr:cNvPr id="0" name=""/>
            <xdr:cNvSpPr>
              <a:spLocks noTextEdit="1"/>
            </xdr:cNvSpPr>
          </xdr:nvSpPr>
          <xdr:spPr>
            <a:xfrm>
              <a:off x="6324600" y="3954781"/>
              <a:ext cx="1828800" cy="1112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617220</xdr:colOff>
      <xdr:row>20</xdr:row>
      <xdr:rowOff>167641</xdr:rowOff>
    </xdr:from>
    <xdr:to>
      <xdr:col>6</xdr:col>
      <xdr:colOff>182880</xdr:colOff>
      <xdr:row>25</xdr:row>
      <xdr:rowOff>38101</xdr:rowOff>
    </xdr:to>
    <mc:AlternateContent xmlns:mc="http://schemas.openxmlformats.org/markup-compatibility/2006" xmlns:a14="http://schemas.microsoft.com/office/drawing/2010/main">
      <mc:Choice Requires="a14">
        <xdr:graphicFrame macro="">
          <xdr:nvGraphicFramePr>
            <xdr:cNvPr id="12" name="Market">
              <a:extLst>
                <a:ext uri="{FF2B5EF4-FFF2-40B4-BE49-F238E27FC236}">
                  <a16:creationId xmlns:a16="http://schemas.microsoft.com/office/drawing/2014/main" id="{C3612AB4-8842-834C-9A4A-DB83D4EEB843}"/>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3528060" y="4061461"/>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60960</xdr:colOff>
      <xdr:row>28</xdr:row>
      <xdr:rowOff>106680</xdr:rowOff>
    </xdr:from>
    <xdr:to>
      <xdr:col>9</xdr:col>
      <xdr:colOff>457200</xdr:colOff>
      <xdr:row>42</xdr:row>
      <xdr:rowOff>175260</xdr:rowOff>
    </xdr:to>
    <xdr:graphicFrame macro="">
      <xdr:nvGraphicFramePr>
        <xdr:cNvPr id="13" name="Chart 12">
          <a:extLst>
            <a:ext uri="{FF2B5EF4-FFF2-40B4-BE49-F238E27FC236}">
              <a16:creationId xmlns:a16="http://schemas.microsoft.com/office/drawing/2014/main" id="{628156EF-7743-195A-19AA-323FB81FF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655320</xdr:colOff>
      <xdr:row>19</xdr:row>
      <xdr:rowOff>106681</xdr:rowOff>
    </xdr:from>
    <xdr:to>
      <xdr:col>12</xdr:col>
      <xdr:colOff>510540</xdr:colOff>
      <xdr:row>27</xdr:row>
      <xdr:rowOff>99061</xdr:rowOff>
    </xdr:to>
    <mc:AlternateContent xmlns:mc="http://schemas.openxmlformats.org/markup-compatibility/2006" xmlns:a14="http://schemas.microsoft.com/office/drawing/2010/main">
      <mc:Choice Requires="a14">
        <xdr:graphicFrame macro="">
          <xdr:nvGraphicFramePr>
            <xdr:cNvPr id="14" name="Years (Date)">
              <a:extLst>
                <a:ext uri="{FF2B5EF4-FFF2-40B4-BE49-F238E27FC236}">
                  <a16:creationId xmlns:a16="http://schemas.microsoft.com/office/drawing/2014/main" id="{6B5026C8-1348-30DA-8851-3457CFCCA44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212580" y="381762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495300</xdr:colOff>
      <xdr:row>28</xdr:row>
      <xdr:rowOff>68580</xdr:rowOff>
    </xdr:from>
    <xdr:to>
      <xdr:col>5</xdr:col>
      <xdr:colOff>320040</xdr:colOff>
      <xdr:row>38</xdr:row>
      <xdr:rowOff>160020</xdr:rowOff>
    </xdr:to>
    <xdr:graphicFrame macro="">
      <xdr:nvGraphicFramePr>
        <xdr:cNvPr id="17" name="Chart 16">
          <a:extLst>
            <a:ext uri="{FF2B5EF4-FFF2-40B4-BE49-F238E27FC236}">
              <a16:creationId xmlns:a16="http://schemas.microsoft.com/office/drawing/2014/main" id="{1F1B7DD1-9B6F-E5D4-2636-E0ADE11E9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45720</xdr:rowOff>
    </xdr:from>
    <xdr:to>
      <xdr:col>15</xdr:col>
      <xdr:colOff>563880</xdr:colOff>
      <xdr:row>4</xdr:row>
      <xdr:rowOff>167640</xdr:rowOff>
    </xdr:to>
    <xdr:sp macro="" textlink="">
      <xdr:nvSpPr>
        <xdr:cNvPr id="2" name="Rectangle: Rounded Corners 1">
          <a:extLst>
            <a:ext uri="{FF2B5EF4-FFF2-40B4-BE49-F238E27FC236}">
              <a16:creationId xmlns:a16="http://schemas.microsoft.com/office/drawing/2014/main" id="{46C7893B-B2B0-41FA-9B52-8756ACD370A4}"/>
            </a:ext>
          </a:extLst>
        </xdr:cNvPr>
        <xdr:cNvSpPr/>
      </xdr:nvSpPr>
      <xdr:spPr>
        <a:xfrm>
          <a:off x="30480" y="45720"/>
          <a:ext cx="9677400" cy="8839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baseline="0">
              <a:solidFill>
                <a:schemeClr val="accent5">
                  <a:lumMod val="75000"/>
                </a:schemeClr>
              </a:solidFill>
            </a:rPr>
            <a:t>                    Trade Performance Dashboard (Forex, Crypto)  </a:t>
          </a:r>
          <a:endParaRPr lang="en-IN" sz="2400" b="1">
            <a:solidFill>
              <a:schemeClr val="accent5">
                <a:lumMod val="75000"/>
              </a:schemeClr>
            </a:solidFill>
          </a:endParaRPr>
        </a:p>
      </xdr:txBody>
    </xdr:sp>
    <xdr:clientData/>
  </xdr:twoCellAnchor>
  <xdr:twoCellAnchor>
    <xdr:from>
      <xdr:col>0</xdr:col>
      <xdr:colOff>38100</xdr:colOff>
      <xdr:row>4</xdr:row>
      <xdr:rowOff>175260</xdr:rowOff>
    </xdr:from>
    <xdr:to>
      <xdr:col>5</xdr:col>
      <xdr:colOff>190500</xdr:colOff>
      <xdr:row>9</xdr:row>
      <xdr:rowOff>175260</xdr:rowOff>
    </xdr:to>
    <xdr:grpSp>
      <xdr:nvGrpSpPr>
        <xdr:cNvPr id="34" name="Group 33">
          <a:extLst>
            <a:ext uri="{FF2B5EF4-FFF2-40B4-BE49-F238E27FC236}">
              <a16:creationId xmlns:a16="http://schemas.microsoft.com/office/drawing/2014/main" id="{CCB82395-1534-0047-F615-575D07238AD4}"/>
            </a:ext>
          </a:extLst>
        </xdr:cNvPr>
        <xdr:cNvGrpSpPr/>
      </xdr:nvGrpSpPr>
      <xdr:grpSpPr>
        <a:xfrm>
          <a:off x="38100" y="937260"/>
          <a:ext cx="3200400" cy="914400"/>
          <a:chOff x="2072640" y="1348740"/>
          <a:chExt cx="2362200" cy="914400"/>
        </a:xfrm>
      </xdr:grpSpPr>
      <xdr:sp macro="" textlink="">
        <xdr:nvSpPr>
          <xdr:cNvPr id="3" name="Rectangle: Rounded Corners 2">
            <a:extLst>
              <a:ext uri="{FF2B5EF4-FFF2-40B4-BE49-F238E27FC236}">
                <a16:creationId xmlns:a16="http://schemas.microsoft.com/office/drawing/2014/main" id="{7D1DFE00-C391-B02E-6F7C-18BED290BD9C}"/>
              </a:ext>
            </a:extLst>
          </xdr:cNvPr>
          <xdr:cNvSpPr/>
        </xdr:nvSpPr>
        <xdr:spPr>
          <a:xfrm>
            <a:off x="2148840" y="1348740"/>
            <a:ext cx="2286000" cy="914400"/>
          </a:xfrm>
          <a:prstGeom prst="roundRect">
            <a:avLst>
              <a:gd name="adj" fmla="val 2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lt1"/>
                </a:solidFill>
                <a:effectLst/>
                <a:latin typeface="+mn-lt"/>
                <a:ea typeface="+mn-ea"/>
                <a:cs typeface="+mn-cs"/>
              </a:rPr>
              <a:t>Total</a:t>
            </a:r>
            <a:r>
              <a:rPr lang="en-IN" sz="1100" b="1" baseline="0">
                <a:solidFill>
                  <a:schemeClr val="lt1"/>
                </a:solidFill>
                <a:effectLst/>
                <a:latin typeface="+mn-lt"/>
                <a:ea typeface="+mn-ea"/>
                <a:cs typeface="+mn-cs"/>
              </a:rPr>
              <a:t> Profit</a:t>
            </a:r>
            <a:r>
              <a:rPr lang="en-IN" sz="1100"/>
              <a:t>      </a:t>
            </a:r>
          </a:p>
          <a:p>
            <a:pPr algn="l"/>
            <a:r>
              <a:rPr lang="en-IN" sz="1400" b="1" baseline="0">
                <a:solidFill>
                  <a:schemeClr val="accent5">
                    <a:lumMod val="75000"/>
                  </a:schemeClr>
                </a:solidFill>
              </a:rPr>
              <a:t> </a:t>
            </a:r>
          </a:p>
          <a:p>
            <a:pPr algn="l"/>
            <a:endParaRPr lang="en-IN" sz="1400" b="1" baseline="0">
              <a:solidFill>
                <a:schemeClr val="accent5">
                  <a:lumMod val="75000"/>
                </a:schemeClr>
              </a:solidFill>
            </a:endParaRPr>
          </a:p>
          <a:p>
            <a:pPr algn="l"/>
            <a:endParaRPr lang="en-IN" sz="1400" b="1" baseline="0">
              <a:solidFill>
                <a:schemeClr val="accent5">
                  <a:lumMod val="75000"/>
                </a:schemeClr>
              </a:solidFill>
            </a:endParaRPr>
          </a:p>
          <a:p>
            <a:pPr algn="l"/>
            <a:endParaRPr lang="en-IN" sz="1400" b="1">
              <a:solidFill>
                <a:schemeClr val="accent5">
                  <a:lumMod val="75000"/>
                </a:schemeClr>
              </a:solidFill>
            </a:endParaRPr>
          </a:p>
        </xdr:txBody>
      </xdr:sp>
      <xdr:sp macro="" textlink="">
        <xdr:nvSpPr>
          <xdr:cNvPr id="21" name="Rectangle: Rounded Corners 20">
            <a:extLst>
              <a:ext uri="{FF2B5EF4-FFF2-40B4-BE49-F238E27FC236}">
                <a16:creationId xmlns:a16="http://schemas.microsoft.com/office/drawing/2014/main" id="{D7531271-7A19-9CCC-87C6-7E89FEBB4AAE}"/>
              </a:ext>
            </a:extLst>
          </xdr:cNvPr>
          <xdr:cNvSpPr/>
        </xdr:nvSpPr>
        <xdr:spPr>
          <a:xfrm>
            <a:off x="2072640" y="1348740"/>
            <a:ext cx="914400" cy="914400"/>
          </a:xfrm>
          <a:prstGeom prst="roundRect">
            <a:avLst>
              <a:gd name="adj" fmla="val 25833"/>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0" i="0" u="none" strike="noStrike">
                <a:solidFill>
                  <a:schemeClr val="lt1"/>
                </a:solidFill>
                <a:effectLst/>
                <a:latin typeface="+mn-lt"/>
                <a:ea typeface="+mn-ea"/>
                <a:cs typeface="+mn-cs"/>
              </a:rPr>
              <a:t>💰</a:t>
            </a:r>
            <a:r>
              <a:rPr lang="en-IN"/>
              <a:t> </a:t>
            </a:r>
            <a:endParaRPr lang="en-IN" sz="1100"/>
          </a:p>
        </xdr:txBody>
      </xdr:sp>
      <xdr:sp macro="" textlink="">
        <xdr:nvSpPr>
          <xdr:cNvPr id="28" name="TextBox 27">
            <a:extLst>
              <a:ext uri="{FF2B5EF4-FFF2-40B4-BE49-F238E27FC236}">
                <a16:creationId xmlns:a16="http://schemas.microsoft.com/office/drawing/2014/main" id="{CFE17D64-1987-E2C1-0BF7-68BD1B8FB3A2}"/>
              </a:ext>
            </a:extLst>
          </xdr:cNvPr>
          <xdr:cNvSpPr txBox="1"/>
        </xdr:nvSpPr>
        <xdr:spPr>
          <a:xfrm>
            <a:off x="3086100" y="1493520"/>
            <a:ext cx="10896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accent5">
                    <a:lumMod val="75000"/>
                  </a:schemeClr>
                </a:solidFill>
                <a:effectLst/>
                <a:latin typeface="+mn-lt"/>
                <a:ea typeface="+mn-ea"/>
                <a:cs typeface="+mn-cs"/>
              </a:rPr>
              <a:t>TOTAL </a:t>
            </a:r>
            <a:r>
              <a:rPr lang="en-IN" sz="1200" b="1" baseline="0">
                <a:solidFill>
                  <a:schemeClr val="accent5">
                    <a:lumMod val="75000"/>
                  </a:schemeClr>
                </a:solidFill>
                <a:effectLst/>
                <a:latin typeface="+mn-lt"/>
                <a:ea typeface="+mn-ea"/>
                <a:cs typeface="+mn-cs"/>
              </a:rPr>
              <a:t>PROFIT</a:t>
            </a:r>
            <a:endParaRPr lang="en-IN" sz="1200" b="1">
              <a:solidFill>
                <a:schemeClr val="accent5">
                  <a:lumMod val="75000"/>
                </a:schemeClr>
              </a:solidFill>
            </a:endParaRPr>
          </a:p>
        </xdr:txBody>
      </xdr:sp>
      <xdr:sp macro="" textlink="'Profit Calculation'!K5">
        <xdr:nvSpPr>
          <xdr:cNvPr id="29" name="TextBox 28">
            <a:extLst>
              <a:ext uri="{FF2B5EF4-FFF2-40B4-BE49-F238E27FC236}">
                <a16:creationId xmlns:a16="http://schemas.microsoft.com/office/drawing/2014/main" id="{7F043831-9C54-FABA-35D6-C9F8FCEA289E}"/>
              </a:ext>
            </a:extLst>
          </xdr:cNvPr>
          <xdr:cNvSpPr txBox="1"/>
        </xdr:nvSpPr>
        <xdr:spPr>
          <a:xfrm>
            <a:off x="3101340" y="1706880"/>
            <a:ext cx="12039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487684-0BD9-4300-BA48-D46A65D9CC08}" type="TxLink">
              <a:rPr lang="en-US" sz="1800" b="1" i="0" u="none" strike="noStrike">
                <a:solidFill>
                  <a:schemeClr val="accent5">
                    <a:lumMod val="75000"/>
                  </a:schemeClr>
                </a:solidFill>
                <a:latin typeface="Calibri"/>
                <a:ea typeface="Calibri"/>
                <a:cs typeface="Calibri"/>
              </a:rPr>
              <a:pPr/>
              <a:t>6385.734</a:t>
            </a:fld>
            <a:endParaRPr lang="en-IN" sz="1800" b="1">
              <a:solidFill>
                <a:schemeClr val="accent5">
                  <a:lumMod val="75000"/>
                </a:schemeClr>
              </a:solidFill>
            </a:endParaRPr>
          </a:p>
        </xdr:txBody>
      </xdr:sp>
    </xdr:grpSp>
    <xdr:clientData/>
  </xdr:twoCellAnchor>
  <xdr:twoCellAnchor>
    <xdr:from>
      <xdr:col>5</xdr:col>
      <xdr:colOff>205740</xdr:colOff>
      <xdr:row>4</xdr:row>
      <xdr:rowOff>175260</xdr:rowOff>
    </xdr:from>
    <xdr:to>
      <xdr:col>10</xdr:col>
      <xdr:colOff>457445</xdr:colOff>
      <xdr:row>9</xdr:row>
      <xdr:rowOff>175260</xdr:rowOff>
    </xdr:to>
    <xdr:grpSp>
      <xdr:nvGrpSpPr>
        <xdr:cNvPr id="35" name="Group 34">
          <a:extLst>
            <a:ext uri="{FF2B5EF4-FFF2-40B4-BE49-F238E27FC236}">
              <a16:creationId xmlns:a16="http://schemas.microsoft.com/office/drawing/2014/main" id="{57D4ADB8-10F6-D7B1-0DE0-6E02CB09E49F}"/>
            </a:ext>
          </a:extLst>
        </xdr:cNvPr>
        <xdr:cNvGrpSpPr/>
      </xdr:nvGrpSpPr>
      <xdr:grpSpPr>
        <a:xfrm>
          <a:off x="3253740" y="937260"/>
          <a:ext cx="3299705" cy="914400"/>
          <a:chOff x="2072640" y="1348740"/>
          <a:chExt cx="2531952" cy="914400"/>
        </a:xfrm>
      </xdr:grpSpPr>
      <xdr:sp macro="" textlink="">
        <xdr:nvSpPr>
          <xdr:cNvPr id="36" name="Rectangle: Rounded Corners 35">
            <a:extLst>
              <a:ext uri="{FF2B5EF4-FFF2-40B4-BE49-F238E27FC236}">
                <a16:creationId xmlns:a16="http://schemas.microsoft.com/office/drawing/2014/main" id="{B56CFA39-8CFE-AD67-84DE-CE176EEA8F21}"/>
              </a:ext>
            </a:extLst>
          </xdr:cNvPr>
          <xdr:cNvSpPr/>
        </xdr:nvSpPr>
        <xdr:spPr>
          <a:xfrm>
            <a:off x="2148840" y="1348740"/>
            <a:ext cx="2455752" cy="914400"/>
          </a:xfrm>
          <a:prstGeom prst="roundRect">
            <a:avLst>
              <a:gd name="adj" fmla="val 2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lt1"/>
                </a:solidFill>
                <a:effectLst/>
                <a:latin typeface="+mn-lt"/>
                <a:ea typeface="+mn-ea"/>
                <a:cs typeface="+mn-cs"/>
              </a:rPr>
              <a:t>Total</a:t>
            </a:r>
            <a:r>
              <a:rPr lang="en-IN" sz="1100" b="1" baseline="0">
                <a:solidFill>
                  <a:schemeClr val="lt1"/>
                </a:solidFill>
                <a:effectLst/>
                <a:latin typeface="+mn-lt"/>
                <a:ea typeface="+mn-ea"/>
                <a:cs typeface="+mn-cs"/>
              </a:rPr>
              <a:t> Profit</a:t>
            </a:r>
            <a:r>
              <a:rPr lang="en-IN" sz="1100"/>
              <a:t>      </a:t>
            </a:r>
          </a:p>
          <a:p>
            <a:pPr algn="l"/>
            <a:r>
              <a:rPr lang="en-IN" sz="1400" b="1" baseline="0">
                <a:solidFill>
                  <a:schemeClr val="accent5">
                    <a:lumMod val="75000"/>
                  </a:schemeClr>
                </a:solidFill>
              </a:rPr>
              <a:t> </a:t>
            </a:r>
          </a:p>
          <a:p>
            <a:pPr algn="l"/>
            <a:endParaRPr lang="en-IN" sz="1400" b="1" baseline="0">
              <a:solidFill>
                <a:schemeClr val="accent5">
                  <a:lumMod val="75000"/>
                </a:schemeClr>
              </a:solidFill>
            </a:endParaRPr>
          </a:p>
          <a:p>
            <a:pPr algn="l"/>
            <a:endParaRPr lang="en-IN" sz="1400" b="1" baseline="0">
              <a:solidFill>
                <a:schemeClr val="accent5">
                  <a:lumMod val="75000"/>
                </a:schemeClr>
              </a:solidFill>
            </a:endParaRPr>
          </a:p>
          <a:p>
            <a:pPr algn="l"/>
            <a:endParaRPr lang="en-IN" sz="1400" b="1">
              <a:solidFill>
                <a:schemeClr val="accent5">
                  <a:lumMod val="75000"/>
                </a:schemeClr>
              </a:solidFill>
            </a:endParaRPr>
          </a:p>
        </xdr:txBody>
      </xdr:sp>
      <xdr:sp macro="" textlink="">
        <xdr:nvSpPr>
          <xdr:cNvPr id="37" name="Rectangle: Rounded Corners 36">
            <a:extLst>
              <a:ext uri="{FF2B5EF4-FFF2-40B4-BE49-F238E27FC236}">
                <a16:creationId xmlns:a16="http://schemas.microsoft.com/office/drawing/2014/main" id="{8775D4D0-599F-8AB8-BEC9-C22441769689}"/>
              </a:ext>
            </a:extLst>
          </xdr:cNvPr>
          <xdr:cNvSpPr/>
        </xdr:nvSpPr>
        <xdr:spPr>
          <a:xfrm>
            <a:off x="2072640" y="1348740"/>
            <a:ext cx="914400" cy="914400"/>
          </a:xfrm>
          <a:prstGeom prst="roundRect">
            <a:avLst>
              <a:gd name="adj" fmla="val 25833"/>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0" i="0" u="none" strike="noStrike">
                <a:solidFill>
                  <a:schemeClr val="lt1"/>
                </a:solidFill>
                <a:effectLst/>
                <a:latin typeface="+mn-lt"/>
                <a:ea typeface="+mn-ea"/>
                <a:cs typeface="+mn-cs"/>
              </a:rPr>
              <a:t>📊</a:t>
            </a:r>
            <a:r>
              <a:rPr lang="en-IN" sz="1100" b="0" i="0" u="none" strike="noStrike">
                <a:solidFill>
                  <a:schemeClr val="lt1"/>
                </a:solidFill>
                <a:effectLst/>
                <a:latin typeface="+mn-lt"/>
                <a:ea typeface="+mn-ea"/>
                <a:cs typeface="+mn-cs"/>
              </a:rPr>
              <a:t> </a:t>
            </a:r>
            <a:endParaRPr lang="en-IN" sz="1100"/>
          </a:p>
        </xdr:txBody>
      </xdr:sp>
      <xdr:sp macro="" textlink="">
        <xdr:nvSpPr>
          <xdr:cNvPr id="38" name="TextBox 37">
            <a:extLst>
              <a:ext uri="{FF2B5EF4-FFF2-40B4-BE49-F238E27FC236}">
                <a16:creationId xmlns:a16="http://schemas.microsoft.com/office/drawing/2014/main" id="{2A780646-91A1-7048-D9DE-52DF6A72AB43}"/>
              </a:ext>
            </a:extLst>
          </xdr:cNvPr>
          <xdr:cNvSpPr txBox="1"/>
        </xdr:nvSpPr>
        <xdr:spPr>
          <a:xfrm>
            <a:off x="3086100" y="1493521"/>
            <a:ext cx="121920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accent5">
                    <a:lumMod val="75000"/>
                  </a:schemeClr>
                </a:solidFill>
                <a:effectLst/>
                <a:latin typeface="+mn-lt"/>
                <a:ea typeface="+mn-ea"/>
                <a:cs typeface="+mn-cs"/>
              </a:rPr>
              <a:t>TOTAL</a:t>
            </a:r>
            <a:r>
              <a:rPr lang="en-IN" sz="1200" b="1" baseline="0">
                <a:solidFill>
                  <a:schemeClr val="accent5">
                    <a:lumMod val="75000"/>
                  </a:schemeClr>
                </a:solidFill>
                <a:effectLst/>
                <a:latin typeface="+mn-lt"/>
                <a:ea typeface="+mn-ea"/>
                <a:cs typeface="+mn-cs"/>
              </a:rPr>
              <a:t> TRADES</a:t>
            </a:r>
          </a:p>
          <a:p>
            <a:endParaRPr lang="en-IN" sz="1200" b="1">
              <a:solidFill>
                <a:schemeClr val="accent5">
                  <a:lumMod val="75000"/>
                </a:schemeClr>
              </a:solidFill>
            </a:endParaRPr>
          </a:p>
        </xdr:txBody>
      </xdr:sp>
      <xdr:sp macro="" textlink="'Profit Calculation'!K7">
        <xdr:nvSpPr>
          <xdr:cNvPr id="39" name="TextBox 38">
            <a:extLst>
              <a:ext uri="{FF2B5EF4-FFF2-40B4-BE49-F238E27FC236}">
                <a16:creationId xmlns:a16="http://schemas.microsoft.com/office/drawing/2014/main" id="{A71D6DC8-9E6B-E156-176C-7E08C005BC29}"/>
              </a:ext>
            </a:extLst>
          </xdr:cNvPr>
          <xdr:cNvSpPr txBox="1"/>
        </xdr:nvSpPr>
        <xdr:spPr>
          <a:xfrm>
            <a:off x="3101340" y="1706880"/>
            <a:ext cx="12039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C18E5D-6970-49F5-87CE-16BEE89D86B3}" type="TxLink">
              <a:rPr lang="en-US" sz="1800" b="1" i="0" u="none" strike="noStrike">
                <a:solidFill>
                  <a:schemeClr val="accent5">
                    <a:lumMod val="75000"/>
                  </a:schemeClr>
                </a:solidFill>
                <a:latin typeface="Calibri"/>
                <a:ea typeface="Calibri"/>
                <a:cs typeface="Calibri"/>
              </a:rPr>
              <a:pPr/>
              <a:t>24</a:t>
            </a:fld>
            <a:endParaRPr lang="en-US" sz="1800" b="1" i="0" u="none" strike="noStrike">
              <a:solidFill>
                <a:schemeClr val="accent5">
                  <a:lumMod val="75000"/>
                </a:schemeClr>
              </a:solidFill>
              <a:latin typeface="Calibri"/>
              <a:ea typeface="Calibri"/>
              <a:cs typeface="Calibri"/>
            </a:endParaRPr>
          </a:p>
          <a:p>
            <a:endParaRPr lang="en-IN" sz="1800" b="1">
              <a:solidFill>
                <a:schemeClr val="accent5">
                  <a:lumMod val="75000"/>
                </a:schemeClr>
              </a:solidFill>
            </a:endParaRPr>
          </a:p>
        </xdr:txBody>
      </xdr:sp>
    </xdr:grpSp>
    <xdr:clientData/>
  </xdr:twoCellAnchor>
  <xdr:twoCellAnchor>
    <xdr:from>
      <xdr:col>10</xdr:col>
      <xdr:colOff>472440</xdr:colOff>
      <xdr:row>4</xdr:row>
      <xdr:rowOff>175260</xdr:rowOff>
    </xdr:from>
    <xdr:to>
      <xdr:col>16</xdr:col>
      <xdr:colOff>15240</xdr:colOff>
      <xdr:row>9</xdr:row>
      <xdr:rowOff>175260</xdr:rowOff>
    </xdr:to>
    <xdr:grpSp>
      <xdr:nvGrpSpPr>
        <xdr:cNvPr id="40" name="Group 39">
          <a:extLst>
            <a:ext uri="{FF2B5EF4-FFF2-40B4-BE49-F238E27FC236}">
              <a16:creationId xmlns:a16="http://schemas.microsoft.com/office/drawing/2014/main" id="{EF3ACEB5-ECD5-CBB1-3B38-D0D2822008B1}"/>
            </a:ext>
          </a:extLst>
        </xdr:cNvPr>
        <xdr:cNvGrpSpPr/>
      </xdr:nvGrpSpPr>
      <xdr:grpSpPr>
        <a:xfrm>
          <a:off x="6568440" y="937260"/>
          <a:ext cx="3200400" cy="914400"/>
          <a:chOff x="2072640" y="1348740"/>
          <a:chExt cx="2362200" cy="914400"/>
        </a:xfrm>
      </xdr:grpSpPr>
      <xdr:sp macro="" textlink="">
        <xdr:nvSpPr>
          <xdr:cNvPr id="41" name="Rectangle: Rounded Corners 40">
            <a:extLst>
              <a:ext uri="{FF2B5EF4-FFF2-40B4-BE49-F238E27FC236}">
                <a16:creationId xmlns:a16="http://schemas.microsoft.com/office/drawing/2014/main" id="{3822243A-5688-B670-1E6D-2E4FE2B42FDC}"/>
              </a:ext>
            </a:extLst>
          </xdr:cNvPr>
          <xdr:cNvSpPr/>
        </xdr:nvSpPr>
        <xdr:spPr>
          <a:xfrm>
            <a:off x="2148840" y="1348740"/>
            <a:ext cx="2286000" cy="914400"/>
          </a:xfrm>
          <a:prstGeom prst="roundRect">
            <a:avLst>
              <a:gd name="adj" fmla="val 24167"/>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chemeClr val="lt1"/>
                </a:solidFill>
                <a:effectLst/>
                <a:latin typeface="+mn-lt"/>
                <a:ea typeface="+mn-ea"/>
                <a:cs typeface="+mn-cs"/>
              </a:rPr>
              <a:t>Total</a:t>
            </a:r>
            <a:r>
              <a:rPr lang="en-IN" sz="1100" b="1" baseline="0">
                <a:solidFill>
                  <a:schemeClr val="lt1"/>
                </a:solidFill>
                <a:effectLst/>
                <a:latin typeface="+mn-lt"/>
                <a:ea typeface="+mn-ea"/>
                <a:cs typeface="+mn-cs"/>
              </a:rPr>
              <a:t> Profit</a:t>
            </a:r>
            <a:r>
              <a:rPr lang="en-IN" sz="1100"/>
              <a:t>      </a:t>
            </a:r>
          </a:p>
          <a:p>
            <a:pPr algn="l"/>
            <a:r>
              <a:rPr lang="en-IN" sz="1400" b="1" baseline="0">
                <a:solidFill>
                  <a:schemeClr val="accent5">
                    <a:lumMod val="75000"/>
                  </a:schemeClr>
                </a:solidFill>
              </a:rPr>
              <a:t> </a:t>
            </a:r>
          </a:p>
          <a:p>
            <a:pPr algn="l"/>
            <a:endParaRPr lang="en-IN" sz="1400" b="1" baseline="0">
              <a:solidFill>
                <a:schemeClr val="accent5">
                  <a:lumMod val="75000"/>
                </a:schemeClr>
              </a:solidFill>
            </a:endParaRPr>
          </a:p>
          <a:p>
            <a:pPr algn="l"/>
            <a:endParaRPr lang="en-IN" sz="1400" b="1" baseline="0">
              <a:solidFill>
                <a:schemeClr val="accent5">
                  <a:lumMod val="75000"/>
                </a:schemeClr>
              </a:solidFill>
            </a:endParaRPr>
          </a:p>
          <a:p>
            <a:pPr algn="l"/>
            <a:endParaRPr lang="en-IN" sz="1400" b="1">
              <a:solidFill>
                <a:schemeClr val="accent5">
                  <a:lumMod val="75000"/>
                </a:schemeClr>
              </a:solidFill>
            </a:endParaRPr>
          </a:p>
        </xdr:txBody>
      </xdr:sp>
      <xdr:sp macro="" textlink="">
        <xdr:nvSpPr>
          <xdr:cNvPr id="42" name="Rectangle: Rounded Corners 41">
            <a:extLst>
              <a:ext uri="{FF2B5EF4-FFF2-40B4-BE49-F238E27FC236}">
                <a16:creationId xmlns:a16="http://schemas.microsoft.com/office/drawing/2014/main" id="{B875CCF8-B171-2068-4CB1-2A2BF5298F21}"/>
              </a:ext>
            </a:extLst>
          </xdr:cNvPr>
          <xdr:cNvSpPr/>
        </xdr:nvSpPr>
        <xdr:spPr>
          <a:xfrm>
            <a:off x="2072640" y="1348740"/>
            <a:ext cx="914400" cy="914400"/>
          </a:xfrm>
          <a:prstGeom prst="roundRect">
            <a:avLst>
              <a:gd name="adj" fmla="val 25833"/>
            </a:avLst>
          </a:prstGeom>
          <a:solidFill>
            <a:schemeClr val="accent5">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200" b="0" i="0" u="none" strike="noStrike">
                <a:solidFill>
                  <a:schemeClr val="lt1"/>
                </a:solidFill>
                <a:effectLst/>
                <a:latin typeface="+mn-lt"/>
                <a:ea typeface="+mn-ea"/>
                <a:cs typeface="+mn-cs"/>
              </a:rPr>
              <a:t>📈 </a:t>
            </a:r>
            <a:endParaRPr lang="en-IN" sz="3200"/>
          </a:p>
        </xdr:txBody>
      </xdr:sp>
      <xdr:sp macro="" textlink="">
        <xdr:nvSpPr>
          <xdr:cNvPr id="43" name="TextBox 42">
            <a:extLst>
              <a:ext uri="{FF2B5EF4-FFF2-40B4-BE49-F238E27FC236}">
                <a16:creationId xmlns:a16="http://schemas.microsoft.com/office/drawing/2014/main" id="{BB0611F8-461D-8244-E2B8-0651FEED2BDD}"/>
              </a:ext>
            </a:extLst>
          </xdr:cNvPr>
          <xdr:cNvSpPr txBox="1"/>
        </xdr:nvSpPr>
        <xdr:spPr>
          <a:xfrm>
            <a:off x="3086100" y="1493520"/>
            <a:ext cx="108966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accent5">
                    <a:lumMod val="75000"/>
                  </a:schemeClr>
                </a:solidFill>
              </a:rPr>
              <a:t>WIN</a:t>
            </a:r>
            <a:r>
              <a:rPr lang="en-IN" sz="1200" b="1" baseline="0">
                <a:solidFill>
                  <a:schemeClr val="accent5">
                    <a:lumMod val="75000"/>
                  </a:schemeClr>
                </a:solidFill>
              </a:rPr>
              <a:t> %</a:t>
            </a:r>
            <a:endParaRPr lang="en-IN" sz="1200" b="1">
              <a:solidFill>
                <a:schemeClr val="accent5">
                  <a:lumMod val="75000"/>
                </a:schemeClr>
              </a:solidFill>
            </a:endParaRPr>
          </a:p>
        </xdr:txBody>
      </xdr:sp>
      <xdr:sp macro="" textlink="'Profit Calculation'!K9">
        <xdr:nvSpPr>
          <xdr:cNvPr id="44" name="TextBox 43">
            <a:extLst>
              <a:ext uri="{FF2B5EF4-FFF2-40B4-BE49-F238E27FC236}">
                <a16:creationId xmlns:a16="http://schemas.microsoft.com/office/drawing/2014/main" id="{2C318ED4-5EE2-6CF8-7612-C24A8C9DCA27}"/>
              </a:ext>
            </a:extLst>
          </xdr:cNvPr>
          <xdr:cNvSpPr txBox="1"/>
        </xdr:nvSpPr>
        <xdr:spPr>
          <a:xfrm>
            <a:off x="3101340" y="1706880"/>
            <a:ext cx="120396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362136-79AF-46CC-89B8-FD94CE4DF928}" type="TxLink">
              <a:rPr lang="en-US" sz="1800" b="1" i="0" u="none" strike="noStrike">
                <a:solidFill>
                  <a:schemeClr val="accent5">
                    <a:lumMod val="75000"/>
                  </a:schemeClr>
                </a:solidFill>
                <a:latin typeface="Calibri"/>
                <a:ea typeface="Calibri"/>
                <a:cs typeface="Calibri"/>
              </a:rPr>
              <a:pPr/>
              <a:t>83.33%</a:t>
            </a:fld>
            <a:endParaRPr lang="en-IN" sz="1800" b="1">
              <a:solidFill>
                <a:schemeClr val="accent5">
                  <a:lumMod val="75000"/>
                </a:schemeClr>
              </a:solidFill>
            </a:endParaRPr>
          </a:p>
        </xdr:txBody>
      </xdr:sp>
    </xdr:grpSp>
    <xdr:clientData/>
  </xdr:twoCellAnchor>
  <xdr:twoCellAnchor editAs="oneCell">
    <xdr:from>
      <xdr:col>0</xdr:col>
      <xdr:colOff>99060</xdr:colOff>
      <xdr:row>25</xdr:row>
      <xdr:rowOff>22860</xdr:rowOff>
    </xdr:from>
    <xdr:to>
      <xdr:col>3</xdr:col>
      <xdr:colOff>68580</xdr:colOff>
      <xdr:row>30</xdr:row>
      <xdr:rowOff>99060</xdr:rowOff>
    </xdr:to>
    <mc:AlternateContent xmlns:mc="http://schemas.openxmlformats.org/markup-compatibility/2006" xmlns:a14="http://schemas.microsoft.com/office/drawing/2010/main">
      <mc:Choice Requires="a14">
        <xdr:graphicFrame macro="">
          <xdr:nvGraphicFramePr>
            <xdr:cNvPr id="58" name="Buy / Sell 1">
              <a:extLst>
                <a:ext uri="{FF2B5EF4-FFF2-40B4-BE49-F238E27FC236}">
                  <a16:creationId xmlns:a16="http://schemas.microsoft.com/office/drawing/2014/main" id="{F38B70B8-810F-4BC4-8BD5-A9A862C97524}"/>
                </a:ext>
              </a:extLst>
            </xdr:cNvPr>
            <xdr:cNvGraphicFramePr/>
          </xdr:nvGraphicFramePr>
          <xdr:xfrm>
            <a:off x="0" y="0"/>
            <a:ext cx="0" cy="0"/>
          </xdr:xfrm>
          <a:graphic>
            <a:graphicData uri="http://schemas.microsoft.com/office/drawing/2010/slicer">
              <sle:slicer xmlns:sle="http://schemas.microsoft.com/office/drawing/2010/slicer" name="Buy / Sell 1"/>
            </a:graphicData>
          </a:graphic>
        </xdr:graphicFrame>
      </mc:Choice>
      <mc:Fallback xmlns="">
        <xdr:sp macro="" textlink="">
          <xdr:nvSpPr>
            <xdr:cNvPr id="0" name=""/>
            <xdr:cNvSpPr>
              <a:spLocks noTextEdit="1"/>
            </xdr:cNvSpPr>
          </xdr:nvSpPr>
          <xdr:spPr>
            <a:xfrm>
              <a:off x="99060" y="4625340"/>
              <a:ext cx="179832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106680</xdr:colOff>
      <xdr:row>10</xdr:row>
      <xdr:rowOff>91440</xdr:rowOff>
    </xdr:from>
    <xdr:to>
      <xdr:col>9</xdr:col>
      <xdr:colOff>220980</xdr:colOff>
      <xdr:row>23</xdr:row>
      <xdr:rowOff>15240</xdr:rowOff>
    </xdr:to>
    <xdr:graphicFrame macro="">
      <xdr:nvGraphicFramePr>
        <xdr:cNvPr id="7" name="Chart 6">
          <a:extLst>
            <a:ext uri="{FF2B5EF4-FFF2-40B4-BE49-F238E27FC236}">
              <a16:creationId xmlns:a16="http://schemas.microsoft.com/office/drawing/2014/main" id="{5FC17C11-B2AD-4C36-A45D-C5D27236D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19</xdr:row>
      <xdr:rowOff>144780</xdr:rowOff>
    </xdr:from>
    <xdr:to>
      <xdr:col>3</xdr:col>
      <xdr:colOff>99060</xdr:colOff>
      <xdr:row>25</xdr:row>
      <xdr:rowOff>15240</xdr:rowOff>
    </xdr:to>
    <mc:AlternateContent xmlns:mc="http://schemas.openxmlformats.org/markup-compatibility/2006" xmlns:a14="http://schemas.microsoft.com/office/drawing/2010/main">
      <mc:Choice Requires="a14">
        <xdr:graphicFrame macro="">
          <xdr:nvGraphicFramePr>
            <xdr:cNvPr id="4" name="Market 1">
              <a:extLst>
                <a:ext uri="{FF2B5EF4-FFF2-40B4-BE49-F238E27FC236}">
                  <a16:creationId xmlns:a16="http://schemas.microsoft.com/office/drawing/2014/main" id="{507675BC-45B6-4584-AA55-9D7B2E9A6D16}"/>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mlns="">
        <xdr:sp macro="" textlink="">
          <xdr:nvSpPr>
            <xdr:cNvPr id="0" name=""/>
            <xdr:cNvSpPr>
              <a:spLocks noTextEdit="1"/>
            </xdr:cNvSpPr>
          </xdr:nvSpPr>
          <xdr:spPr>
            <a:xfrm>
              <a:off x="99060" y="3649980"/>
              <a:ext cx="182880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10</xdr:row>
      <xdr:rowOff>76200</xdr:rowOff>
    </xdr:from>
    <xdr:to>
      <xdr:col>3</xdr:col>
      <xdr:colOff>83820</xdr:colOff>
      <xdr:row>19</xdr:row>
      <xdr:rowOff>129540</xdr:rowOff>
    </xdr:to>
    <mc:AlternateContent xmlns:mc="http://schemas.openxmlformats.org/markup-compatibility/2006" xmlns:a14="http://schemas.microsoft.com/office/drawing/2010/main">
      <mc:Choice Requires="a14">
        <xdr:graphicFrame macro="">
          <xdr:nvGraphicFramePr>
            <xdr:cNvPr id="8" name="Years (Date) 1">
              <a:extLst>
                <a:ext uri="{FF2B5EF4-FFF2-40B4-BE49-F238E27FC236}">
                  <a16:creationId xmlns:a16="http://schemas.microsoft.com/office/drawing/2014/main" id="{EE63A06C-0C23-4245-9292-2A4AD571A474}"/>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83820" y="1935480"/>
              <a:ext cx="182880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281940</xdr:colOff>
      <xdr:row>10</xdr:row>
      <xdr:rowOff>121920</xdr:rowOff>
    </xdr:from>
    <xdr:to>
      <xdr:col>15</xdr:col>
      <xdr:colOff>426720</xdr:colOff>
      <xdr:row>23</xdr:row>
      <xdr:rowOff>68580</xdr:rowOff>
    </xdr:to>
    <xdr:graphicFrame macro="">
      <xdr:nvGraphicFramePr>
        <xdr:cNvPr id="10" name="Chart 9">
          <a:extLst>
            <a:ext uri="{FF2B5EF4-FFF2-40B4-BE49-F238E27FC236}">
              <a16:creationId xmlns:a16="http://schemas.microsoft.com/office/drawing/2014/main" id="{6EADE86D-0358-487A-838D-EE969EE73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160020</xdr:colOff>
      <xdr:row>24</xdr:row>
      <xdr:rowOff>7620</xdr:rowOff>
    </xdr:from>
    <xdr:to>
      <xdr:col>12</xdr:col>
      <xdr:colOff>563880</xdr:colOff>
      <xdr:row>40</xdr:row>
      <xdr:rowOff>91440</xdr:rowOff>
    </xdr:to>
    <xdr:graphicFrame macro="">
      <xdr:nvGraphicFramePr>
        <xdr:cNvPr id="11" name="Chart 10">
          <a:extLst>
            <a:ext uri="{FF2B5EF4-FFF2-40B4-BE49-F238E27FC236}">
              <a16:creationId xmlns:a16="http://schemas.microsoft.com/office/drawing/2014/main" id="{671B6468-99C7-465B-B62A-B339D361D7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0.37876</cdr:x>
      <cdr:y>0</cdr:y>
    </cdr:from>
    <cdr:to>
      <cdr:x>0.6838</cdr:x>
      <cdr:y>0.14426</cdr:y>
    </cdr:to>
    <cdr:sp macro="" textlink="">
      <cdr:nvSpPr>
        <cdr:cNvPr id="2" name="TextBox 1">
          <a:extLst xmlns:a="http://schemas.openxmlformats.org/drawingml/2006/main">
            <a:ext uri="{FF2B5EF4-FFF2-40B4-BE49-F238E27FC236}">
              <a16:creationId xmlns:a16="http://schemas.microsoft.com/office/drawing/2014/main" id="{B003ABA8-2DFB-7962-C61A-D93405BF5686}"/>
            </a:ext>
          </a:extLst>
        </cdr:cNvPr>
        <cdr:cNvSpPr txBox="1"/>
      </cdr:nvSpPr>
      <cdr:spPr>
        <a:xfrm xmlns:a="http://schemas.openxmlformats.org/drawingml/2006/main">
          <a:off x="1440180" y="0"/>
          <a:ext cx="1159905" cy="335280"/>
        </a:xfrm>
        <a:prstGeom xmlns:a="http://schemas.openxmlformats.org/drawingml/2006/main" prst="rect">
          <a:avLst/>
        </a:prstGeom>
        <a:effectLst xmlns:a="http://schemas.openxmlformats.org/drawingml/2006/main">
          <a:outerShdw blurRad="50800" dist="50800" dir="5400000" algn="ctr" rotWithShape="0">
            <a:schemeClr val="bg1">
              <a:lumMod val="95000"/>
            </a:schemeClr>
          </a:outerShdw>
        </a:effectLst>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400" b="1" i="0" baseline="0">
              <a:solidFill>
                <a:srgbClr val="002060"/>
              </a:solidFill>
              <a:effectLst/>
              <a:latin typeface="+mn-lt"/>
              <a:ea typeface="+mn-ea"/>
              <a:cs typeface="+mn-cs"/>
            </a:rPr>
            <a:t>Profit By Year</a:t>
          </a:r>
          <a:endParaRPr lang="en-IN" sz="1400" b="1" kern="1200">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thishkumar S" refreshedDate="46001.636296990742" missingItemsLimit="0" createdVersion="8" refreshedVersion="8" minRefreshableVersion="3" recordCount="24" xr:uid="{4527DD21-EB15-4BFF-956A-DC2CAA1967BE}">
  <cacheSource type="worksheet">
    <worksheetSource name="Table2"/>
  </cacheSource>
  <cacheFields count="10">
    <cacheField name="Date" numFmtId="164">
      <sharedItems containsSemiMixedTypes="0" containsNonDate="0" containsDate="1" containsString="0" minDate="2023-04-11T00:00:00" maxDate="2025-07-18T00:00:00" count="19">
        <d v="2023-04-11T00:00:00"/>
        <d v="2023-04-15T00:00:00"/>
        <d v="2023-04-16T00:00:00"/>
        <d v="2023-04-21T00:00:00"/>
        <d v="2023-06-23T00:00:00"/>
        <d v="2023-07-03T00:00:00"/>
        <d v="2023-07-16T00:00:00"/>
        <d v="2024-10-29T00:00:00"/>
        <d v="2024-02-28T00:00:00"/>
        <d v="2024-05-21T00:00:00"/>
        <d v="2025-06-23T00:00:00"/>
        <d v="2025-07-09T00:00:00"/>
        <d v="2025-07-10T00:00:00"/>
        <d v="2025-07-12T00:00:00"/>
        <d v="2025-07-13T00:00:00"/>
        <d v="2025-07-14T00:00:00"/>
        <d v="2025-07-15T00:00:00"/>
        <d v="2025-07-16T00:00:00"/>
        <d v="2025-07-17T00:00:00"/>
      </sharedItems>
      <fieldGroup par="9"/>
    </cacheField>
    <cacheField name="Market" numFmtId="0">
      <sharedItems count="2">
        <s v="FOREX"/>
        <s v="CRYPTO"/>
      </sharedItems>
    </cacheField>
    <cacheField name="Pair" numFmtId="0">
      <sharedItems count="6">
        <s v="XAUUSD"/>
        <s v="GBPUSD"/>
        <s v="EURJPY"/>
        <s v="EURUSD"/>
        <s v="BTCUSD"/>
        <s v="ETHUSD"/>
      </sharedItems>
    </cacheField>
    <cacheField name="Buy / Sell" numFmtId="0">
      <sharedItems count="2">
        <s v="BUY"/>
        <s v="SELL"/>
      </sharedItems>
    </cacheField>
    <cacheField name="Qunatity" numFmtId="0">
      <sharedItems containsSemiMixedTypes="0" containsString="0" containsNumber="1" minValue="0.01" maxValue="1"/>
    </cacheField>
    <cacheField name="points/pips gained" numFmtId="0">
      <sharedItems containsSemiMixedTypes="0" containsString="0" containsNumber="1" minValue="-7486" maxValue="10713.400000000001"/>
    </cacheField>
    <cacheField name="Win/Loss" numFmtId="0">
      <sharedItems count="2">
        <s v="Win"/>
        <s v="Loss"/>
      </sharedItems>
    </cacheField>
    <cacheField name="Profit" numFmtId="0">
      <sharedItems containsSemiMixedTypes="0" containsString="0" containsNumber="1" minValue="-145.89999999999881" maxValue="2310.3699999999953"/>
    </cacheField>
    <cacheField name="Months (Date)" numFmtId="0" databaseField="0">
      <fieldGroup base="0">
        <rangePr groupBy="months" startDate="2023-04-11T00:00:00" endDate="2025-07-18T00:00:00"/>
        <groupItems count="14">
          <s v="&lt;4/11/2023"/>
          <s v="Jan"/>
          <s v="Feb"/>
          <s v="Mar"/>
          <s v="Apr"/>
          <s v="May"/>
          <s v="Jun"/>
          <s v="Jul"/>
          <s v="Aug"/>
          <s v="Sep"/>
          <s v="Oct"/>
          <s v="Nov"/>
          <s v="Dec"/>
          <s v="&gt;7/18/2025"/>
        </groupItems>
      </fieldGroup>
    </cacheField>
    <cacheField name="Years (Date)" numFmtId="0" databaseField="0">
      <fieldGroup base="0">
        <rangePr groupBy="years" startDate="2023-04-11T00:00:00" endDate="2025-07-18T00:00:00"/>
        <groupItems count="5">
          <s v="&lt;4/11/2023"/>
          <s v="2023"/>
          <s v="2024"/>
          <s v="2025"/>
          <s v="&gt;7/18/2025"/>
        </groupItems>
      </fieldGroup>
    </cacheField>
  </cacheFields>
  <extLst>
    <ext xmlns:x14="http://schemas.microsoft.com/office/spreadsheetml/2009/9/main" uri="{725AE2AE-9491-48be-B2B4-4EB974FC3084}">
      <x14:pivotCacheDefinition pivotCacheId="945629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x v="0"/>
    <n v="0.02"/>
    <n v="10713.400000000001"/>
    <x v="0"/>
    <n v="214.26800000000003"/>
  </r>
  <r>
    <x v="1"/>
    <x v="0"/>
    <x v="1"/>
    <x v="0"/>
    <n v="0.03"/>
    <n v="40.800000000000836"/>
    <x v="0"/>
    <n v="12.240000000000251"/>
  </r>
  <r>
    <x v="2"/>
    <x v="0"/>
    <x v="0"/>
    <x v="0"/>
    <n v="0.02"/>
    <n v="5936.0000000000127"/>
    <x v="0"/>
    <n v="118.72000000000025"/>
  </r>
  <r>
    <x v="3"/>
    <x v="0"/>
    <x v="0"/>
    <x v="0"/>
    <n v="0.01"/>
    <n v="469.99999999998181"/>
    <x v="0"/>
    <n v="4.6999999999998181"/>
  </r>
  <r>
    <x v="4"/>
    <x v="0"/>
    <x v="2"/>
    <x v="0"/>
    <n v="0.02"/>
    <n v="56.700000000000728"/>
    <x v="0"/>
    <n v="11.340000000000146"/>
  </r>
  <r>
    <x v="4"/>
    <x v="0"/>
    <x v="2"/>
    <x v="0"/>
    <n v="7.0000000000000007E-2"/>
    <n v="-69.700000000000273"/>
    <x v="1"/>
    <n v="-48.790000000000198"/>
  </r>
  <r>
    <x v="5"/>
    <x v="0"/>
    <x v="2"/>
    <x v="0"/>
    <n v="0.1"/>
    <n v="58.500000000000796"/>
    <x v="0"/>
    <n v="58.500000000000796"/>
  </r>
  <r>
    <x v="6"/>
    <x v="0"/>
    <x v="3"/>
    <x v="0"/>
    <n v="0.1"/>
    <n v="-145.89999999999881"/>
    <x v="1"/>
    <n v="-145.89999999999881"/>
  </r>
  <r>
    <x v="7"/>
    <x v="1"/>
    <x v="4"/>
    <x v="0"/>
    <n v="0.01"/>
    <n v="1523"/>
    <x v="0"/>
    <n v="15.23"/>
  </r>
  <r>
    <x v="8"/>
    <x v="1"/>
    <x v="4"/>
    <x v="1"/>
    <n v="0.01"/>
    <n v="-7486"/>
    <x v="1"/>
    <n v="-74.86"/>
  </r>
  <r>
    <x v="9"/>
    <x v="1"/>
    <x v="4"/>
    <x v="0"/>
    <n v="0.01"/>
    <n v="1754"/>
    <x v="0"/>
    <n v="17.54"/>
  </r>
  <r>
    <x v="10"/>
    <x v="1"/>
    <x v="4"/>
    <x v="1"/>
    <n v="0.01"/>
    <n v="-2711.3800000000047"/>
    <x v="1"/>
    <n v="-27.113800000000047"/>
  </r>
  <r>
    <x v="11"/>
    <x v="1"/>
    <x v="5"/>
    <x v="0"/>
    <n v="0.1"/>
    <n v="46.380000000000109"/>
    <x v="0"/>
    <n v="4.6380000000000114"/>
  </r>
  <r>
    <x v="12"/>
    <x v="1"/>
    <x v="5"/>
    <x v="0"/>
    <n v="0.1"/>
    <n v="76.909999999999854"/>
    <x v="0"/>
    <n v="7.6909999999999856"/>
  </r>
  <r>
    <x v="12"/>
    <x v="1"/>
    <x v="4"/>
    <x v="0"/>
    <n v="0.01"/>
    <n v="1066"/>
    <x v="0"/>
    <n v="10.66"/>
  </r>
  <r>
    <x v="12"/>
    <x v="1"/>
    <x v="4"/>
    <x v="0"/>
    <n v="0.02"/>
    <n v="1066"/>
    <x v="0"/>
    <n v="21.32"/>
  </r>
  <r>
    <x v="13"/>
    <x v="1"/>
    <x v="4"/>
    <x v="0"/>
    <n v="0.02"/>
    <n v="4042.1900000000023"/>
    <x v="0"/>
    <n v="80.843800000000044"/>
  </r>
  <r>
    <x v="14"/>
    <x v="1"/>
    <x v="4"/>
    <x v="0"/>
    <n v="0.1"/>
    <n v="3375.5"/>
    <x v="0"/>
    <n v="337.55"/>
  </r>
  <r>
    <x v="14"/>
    <x v="1"/>
    <x v="4"/>
    <x v="0"/>
    <n v="0.5"/>
    <n v="3243.0400000000081"/>
    <x v="0"/>
    <n v="1621.5200000000041"/>
  </r>
  <r>
    <x v="14"/>
    <x v="1"/>
    <x v="4"/>
    <x v="0"/>
    <n v="0.5"/>
    <n v="3363.4700000000012"/>
    <x v="0"/>
    <n v="1681.7350000000006"/>
  </r>
  <r>
    <x v="15"/>
    <x v="1"/>
    <x v="4"/>
    <x v="0"/>
    <n v="1"/>
    <n v="2310.3699999999953"/>
    <x v="0"/>
    <n v="2310.3699999999953"/>
  </r>
  <r>
    <x v="16"/>
    <x v="1"/>
    <x v="5"/>
    <x v="0"/>
    <n v="0.5"/>
    <n v="243.30999999999995"/>
    <x v="0"/>
    <n v="121.65499999999997"/>
  </r>
  <r>
    <x v="17"/>
    <x v="1"/>
    <x v="5"/>
    <x v="0"/>
    <n v="1"/>
    <n v="27.870000000000346"/>
    <x v="0"/>
    <n v="27.870000000000346"/>
  </r>
  <r>
    <x v="18"/>
    <x v="1"/>
    <x v="5"/>
    <x v="0"/>
    <n v="0.1"/>
    <n v="40.070000000000164"/>
    <x v="0"/>
    <n v="4.0070000000000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E73117-FAE7-4CDE-96FC-3B4E4CDBDBF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J6:K8" firstHeaderRow="1" firstDataRow="1" firstDataCol="1"/>
  <pivotFields count="10">
    <pivotField showAll="0">
      <items count="20">
        <item x="7"/>
        <item x="10"/>
        <item x="17"/>
        <item x="11"/>
        <item x="12"/>
        <item x="13"/>
        <item x="14"/>
        <item x="15"/>
        <item x="16"/>
        <item x="0"/>
        <item x="1"/>
        <item x="2"/>
        <item x="3"/>
        <item x="4"/>
        <item x="5"/>
        <item x="6"/>
        <item x="8"/>
        <item x="9"/>
        <item x="18"/>
        <item t="default"/>
      </items>
    </pivotField>
    <pivotField showAll="0"/>
    <pivotField showAll="0">
      <items count="7">
        <item x="4"/>
        <item x="5"/>
        <item x="2"/>
        <item x="3"/>
        <item x="1"/>
        <item x="0"/>
        <item t="default"/>
      </items>
    </pivotField>
    <pivotField showAll="0">
      <items count="3">
        <item x="0"/>
        <item x="1"/>
        <item t="default"/>
      </items>
    </pivotField>
    <pivotField showAll="0"/>
    <pivotField showAll="0"/>
    <pivotField axis="axisRow" dataField="1"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6">
        <item x="2"/>
        <item x="3"/>
        <item x="0"/>
        <item x="1"/>
        <item x="4"/>
        <item t="default"/>
      </items>
    </pivotField>
  </pivotFields>
  <rowFields count="1">
    <field x="6"/>
  </rowFields>
  <rowItems count="2">
    <i>
      <x/>
    </i>
    <i>
      <x v="1"/>
    </i>
  </rowItems>
  <colItems count="1">
    <i/>
  </colItems>
  <dataFields count="1">
    <dataField name="Count of Win/Loss" fld="6" subtotal="count" baseField="0" baseItem="0"/>
  </dataFields>
  <chartFormats count="7">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1"/>
          </reference>
        </references>
      </pivotArea>
    </chartFormat>
    <chartFormat chart="6" format="2">
      <pivotArea type="data" outline="0" fieldPosition="0">
        <references count="2">
          <reference field="4294967294" count="1" selected="0">
            <x v="0"/>
          </reference>
          <reference field="6"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 chart="6"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149524-624C-428F-AAB4-7D5A08F0613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G6:H12" firstHeaderRow="1" firstDataRow="1" firstDataCol="1"/>
  <pivotFields count="10">
    <pivotField showAll="0">
      <items count="20">
        <item x="7"/>
        <item x="10"/>
        <item x="17"/>
        <item x="11"/>
        <item x="12"/>
        <item x="13"/>
        <item x="14"/>
        <item x="15"/>
        <item x="16"/>
        <item x="0"/>
        <item x="1"/>
        <item x="2"/>
        <item x="3"/>
        <item x="4"/>
        <item x="5"/>
        <item x="6"/>
        <item x="8"/>
        <item x="9"/>
        <item x="18"/>
        <item t="default"/>
      </items>
    </pivotField>
    <pivotField showAll="0"/>
    <pivotField axis="axisRow" showAll="0">
      <items count="7">
        <item x="4"/>
        <item x="2"/>
        <item x="1"/>
        <item x="0"/>
        <item x="3"/>
        <item x="5"/>
        <item t="default"/>
      </items>
    </pivotField>
    <pivotField showAll="0">
      <items count="3">
        <item x="0"/>
        <item x="1"/>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2"/>
        <item x="3"/>
        <item x="0"/>
        <item x="1"/>
        <item x="4"/>
        <item t="default"/>
      </items>
    </pivotField>
  </pivotFields>
  <rowFields count="1">
    <field x="2"/>
  </rowFields>
  <rowItems count="6">
    <i>
      <x/>
    </i>
    <i>
      <x v="1"/>
    </i>
    <i>
      <x v="2"/>
    </i>
    <i>
      <x v="3"/>
    </i>
    <i>
      <x v="4"/>
    </i>
    <i>
      <x v="5"/>
    </i>
  </rowItems>
  <colItems count="1">
    <i/>
  </colItems>
  <dataFields count="1">
    <dataField name="Sum of Profit" fld="7" baseField="0" baseItem="0"/>
  </dataFields>
  <chartFormats count="18">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2" count="1" selected="0">
            <x v="3"/>
          </reference>
        </references>
      </pivotArea>
    </chartFormat>
    <chartFormat chart="24" format="2">
      <pivotArea type="data" outline="0" fieldPosition="0">
        <references count="2">
          <reference field="4294967294" count="1" selected="0">
            <x v="0"/>
          </reference>
          <reference field="2" count="1" selected="0">
            <x v="4"/>
          </reference>
        </references>
      </pivotArea>
    </chartFormat>
    <chartFormat chart="24" format="3">
      <pivotArea type="data" outline="0" fieldPosition="0">
        <references count="2">
          <reference field="4294967294" count="1" selected="0">
            <x v="0"/>
          </reference>
          <reference field="2" count="1" selected="0">
            <x v="5"/>
          </reference>
        </references>
      </pivotArea>
    </chartFormat>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2" count="1" selected="0">
            <x v="0"/>
          </reference>
        </references>
      </pivotArea>
    </chartFormat>
    <chartFormat chart="39" format="2">
      <pivotArea type="data" outline="0" fieldPosition="0">
        <references count="2">
          <reference field="4294967294" count="1" selected="0">
            <x v="0"/>
          </reference>
          <reference field="2" count="1" selected="0">
            <x v="3"/>
          </reference>
        </references>
      </pivotArea>
    </chartFormat>
    <chartFormat chart="41" format="10" series="1">
      <pivotArea type="data" outline="0" fieldPosition="0">
        <references count="1">
          <reference field="4294967294" count="1" selected="0">
            <x v="0"/>
          </reference>
        </references>
      </pivotArea>
    </chartFormat>
    <chartFormat chart="41" format="11">
      <pivotArea type="data" outline="0" fieldPosition="0">
        <references count="2">
          <reference field="4294967294" count="1" selected="0">
            <x v="0"/>
          </reference>
          <reference field="2" count="1" selected="0">
            <x v="0"/>
          </reference>
        </references>
      </pivotArea>
    </chartFormat>
    <chartFormat chart="41" format="12">
      <pivotArea type="data" outline="0" fieldPosition="0">
        <references count="2">
          <reference field="4294967294" count="1" selected="0">
            <x v="0"/>
          </reference>
          <reference field="2" count="1" selected="0">
            <x v="1"/>
          </reference>
        </references>
      </pivotArea>
    </chartFormat>
    <chartFormat chart="41" format="13">
      <pivotArea type="data" outline="0" fieldPosition="0">
        <references count="2">
          <reference field="4294967294" count="1" selected="0">
            <x v="0"/>
          </reference>
          <reference field="2" count="1" selected="0">
            <x v="2"/>
          </reference>
        </references>
      </pivotArea>
    </chartFormat>
    <chartFormat chart="41" format="14">
      <pivotArea type="data" outline="0" fieldPosition="0">
        <references count="2">
          <reference field="4294967294" count="1" selected="0">
            <x v="0"/>
          </reference>
          <reference field="2" count="1" selected="0">
            <x v="3"/>
          </reference>
        </references>
      </pivotArea>
    </chartFormat>
    <chartFormat chart="41" format="15">
      <pivotArea type="data" outline="0" fieldPosition="0">
        <references count="2">
          <reference field="4294967294" count="1" selected="0">
            <x v="0"/>
          </reference>
          <reference field="2" count="1" selected="0">
            <x v="4"/>
          </reference>
        </references>
      </pivotArea>
    </chartFormat>
    <chartFormat chart="41" format="16">
      <pivotArea type="data" outline="0" fieldPosition="0">
        <references count="2">
          <reference field="4294967294" count="1" selected="0">
            <x v="0"/>
          </reference>
          <reference field="2" count="1" selected="0">
            <x v="5"/>
          </reference>
        </references>
      </pivotArea>
    </chartFormat>
    <chartFormat chart="39" format="3">
      <pivotArea type="data" outline="0" fieldPosition="0">
        <references count="2">
          <reference field="4294967294" count="1" selected="0">
            <x v="0"/>
          </reference>
          <reference field="2" count="1" selected="0">
            <x v="1"/>
          </reference>
        </references>
      </pivotArea>
    </chartFormat>
    <chartFormat chart="39" format="4">
      <pivotArea type="data" outline="0" fieldPosition="0">
        <references count="2">
          <reference field="4294967294" count="1" selected="0">
            <x v="0"/>
          </reference>
          <reference field="2" count="1" selected="0">
            <x v="2"/>
          </reference>
        </references>
      </pivotArea>
    </chartFormat>
    <chartFormat chart="39" format="5">
      <pivotArea type="data" outline="0" fieldPosition="0">
        <references count="2">
          <reference field="4294967294" count="1" selected="0">
            <x v="0"/>
          </reference>
          <reference field="2" count="1" selected="0">
            <x v="4"/>
          </reference>
        </references>
      </pivotArea>
    </chartFormat>
    <chartFormat chart="39" format="6">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9C6CF6-74E7-4D12-AC8C-3094D4EF06C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6:N8" firstHeaderRow="1" firstDataRow="1" firstDataCol="1"/>
  <pivotFields count="10">
    <pivotField showAll="0">
      <items count="20">
        <item x="7"/>
        <item x="10"/>
        <item x="17"/>
        <item x="11"/>
        <item x="12"/>
        <item x="13"/>
        <item x="14"/>
        <item x="15"/>
        <item x="16"/>
        <item x="0"/>
        <item x="1"/>
        <item x="2"/>
        <item x="3"/>
        <item x="4"/>
        <item x="5"/>
        <item x="6"/>
        <item x="8"/>
        <item x="9"/>
        <item x="18"/>
        <item t="default"/>
      </items>
    </pivotField>
    <pivotField showAll="0"/>
    <pivotField showAll="0">
      <items count="7">
        <item x="4"/>
        <item x="5"/>
        <item x="2"/>
        <item x="3"/>
        <item x="1"/>
        <item x="0"/>
        <item t="default"/>
      </items>
    </pivotField>
    <pivotField axis="axisRow" showAll="0">
      <items count="3">
        <item x="0"/>
        <item x="1"/>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2"/>
        <item x="3"/>
        <item x="0"/>
        <item x="1"/>
        <item x="4"/>
        <item t="default"/>
      </items>
    </pivotField>
  </pivotFields>
  <rowFields count="1">
    <field x="3"/>
  </rowFields>
  <rowItems count="2">
    <i>
      <x/>
    </i>
    <i>
      <x v="1"/>
    </i>
  </rowItems>
  <colItems count="1">
    <i/>
  </colItems>
  <dataFields count="1">
    <dataField name="Sum of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958ED-8669-477E-B952-B6778BFE63B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7" fieldListSortAscending="1">
  <location ref="C6:E17" firstHeaderRow="0" firstDataRow="1" firstDataCol="1"/>
  <pivotFields count="10">
    <pivotField showAll="0" defaultSubtotal="0">
      <items count="19">
        <item x="7"/>
        <item x="10"/>
        <item x="17"/>
        <item x="11"/>
        <item x="12"/>
        <item x="13"/>
        <item x="14"/>
        <item x="15"/>
        <item x="16"/>
        <item x="0"/>
        <item x="1"/>
        <item x="2"/>
        <item x="3"/>
        <item x="4"/>
        <item x="5"/>
        <item x="6"/>
        <item x="8"/>
        <item x="9"/>
        <item x="18"/>
      </items>
    </pivotField>
    <pivotField showAll="0">
      <items count="3">
        <item x="1"/>
        <item x="0"/>
        <item t="default"/>
      </items>
    </pivotField>
    <pivotField showAll="0">
      <items count="7">
        <item x="4"/>
        <item x="5"/>
        <item x="2"/>
        <item x="3"/>
        <item x="1"/>
        <item x="0"/>
        <item t="default"/>
      </items>
    </pivotField>
    <pivotField showAll="0">
      <items count="3">
        <item x="0"/>
        <item x="1"/>
        <item t="default"/>
      </items>
    </pivotField>
    <pivotField showAll="0"/>
    <pivotField dataField="1" showAll="0"/>
    <pivotField showAll="0">
      <items count="3">
        <item x="1"/>
        <item x="0"/>
        <item t="default"/>
      </items>
    </pivotField>
    <pivotField dataField="1" showAll="0"/>
    <pivotField axis="axisRow" showAll="0">
      <items count="15">
        <item x="0"/>
        <item x="1"/>
        <item x="2"/>
        <item x="3"/>
        <item x="4"/>
        <item x="5"/>
        <item x="6"/>
        <item x="7"/>
        <item x="8"/>
        <item x="9"/>
        <item x="10"/>
        <item x="11"/>
        <item x="12"/>
        <item x="13"/>
        <item t="default"/>
      </items>
    </pivotField>
    <pivotField axis="axisRow" showAll="0">
      <items count="6">
        <item x="2"/>
        <item x="3"/>
        <item x="0"/>
        <item x="1"/>
        <item x="4"/>
        <item t="default"/>
      </items>
    </pivotField>
  </pivotFields>
  <rowFields count="2">
    <field x="9"/>
    <field x="8"/>
  </rowFields>
  <rowItems count="11">
    <i>
      <x/>
    </i>
    <i r="1">
      <x v="2"/>
    </i>
    <i r="1">
      <x v="5"/>
    </i>
    <i r="1">
      <x v="10"/>
    </i>
    <i>
      <x v="1"/>
    </i>
    <i r="1">
      <x v="6"/>
    </i>
    <i r="1">
      <x v="7"/>
    </i>
    <i>
      <x v="3"/>
    </i>
    <i r="1">
      <x v="4"/>
    </i>
    <i r="1">
      <x v="6"/>
    </i>
    <i r="1">
      <x v="7"/>
    </i>
  </rowItems>
  <colFields count="1">
    <field x="-2"/>
  </colFields>
  <colItems count="2">
    <i>
      <x/>
    </i>
    <i i="1">
      <x v="1"/>
    </i>
  </colItems>
  <dataFields count="2">
    <dataField name="Sum of Profit" fld="7" baseField="0" baseItem="0"/>
    <dataField name="Sum of points/pips gained" fld="5" baseField="0" baseItem="0"/>
  </dataFields>
  <formats count="2">
    <format dxfId="2">
      <pivotArea field="0" type="button" dataOnly="0" labelOnly="1" outline="0"/>
    </format>
    <format dxfId="3">
      <pivotArea dataOnly="0" labelOnly="1" grandRow="1" outline="0" fieldPosition="0"/>
    </format>
  </formats>
  <chartFormats count="10">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1"/>
          </reference>
        </references>
      </pivotArea>
    </chartFormat>
    <chartFormat chart="51" format="5" series="1">
      <pivotArea type="data" outline="0" fieldPosition="0">
        <references count="1">
          <reference field="4294967294" count="1" selected="0">
            <x v="0"/>
          </reference>
        </references>
      </pivotArea>
    </chartFormat>
    <chartFormat chart="51" format="6" series="1">
      <pivotArea type="data" outline="0" fieldPosition="0">
        <references count="1">
          <reference field="4294967294" count="1" selected="0">
            <x v="1"/>
          </reference>
        </references>
      </pivotArea>
    </chartFormat>
    <chartFormat chart="56" format="4" series="1">
      <pivotArea type="data" outline="0" fieldPosition="0">
        <references count="1">
          <reference field="4294967294" count="1" selected="0">
            <x v="0"/>
          </reference>
        </references>
      </pivotArea>
    </chartFormat>
    <chartFormat chart="5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___Sell" xr10:uid="{203BB631-0406-4C94-A53E-99DA1DBB976F}" sourceName="Buy / Sell">
  <pivotTables>
    <pivotTable tabId="6" name="PivotTable3"/>
    <pivotTable tabId="6" name="PivotTable1"/>
    <pivotTable tabId="6" name="PivotTable5"/>
    <pivotTable tabId="6" name="PivotTable6"/>
  </pivotTables>
  <data>
    <tabular pivotCacheId="94562952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_Loss" xr10:uid="{8FDD01A3-22BC-43C6-B60C-CCE35AB68CD3}" sourceName="Win/Loss">
  <pivotTables>
    <pivotTable tabId="6" name="PivotTable3"/>
  </pivotTables>
  <data>
    <tabular pivotCacheId="94562952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F4BCA1F0-539F-4B57-9E3B-CAA3ABD382E5}" sourceName="Market">
  <pivotTables>
    <pivotTable tabId="6" name="PivotTable3"/>
  </pivotTables>
  <data>
    <tabular pivotCacheId="94562952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A1E7072-A699-4F50-AEBC-E09AF936CED7}" sourceName="Years (Date)">
  <pivotTables>
    <pivotTable tabId="6" name="PivotTable3"/>
  </pivotTables>
  <data>
    <tabular pivotCacheId="945629524">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n/Loss" xr10:uid="{5B2256E5-8FE4-4C0C-BD88-DAB39E9CF5AA}" cache="Slicer_Win_Loss" caption="Win/Loss" rowHeight="234950"/>
  <slicer name="Market" xr10:uid="{72036E9A-B203-4B32-B131-B10FC8DA5CD7}" cache="Slicer_Market" caption="Market" rowHeight="234950"/>
  <slicer name="Years (Date)" xr10:uid="{40913548-6016-48CF-99DD-44E5DB3601C9}" cache="Slicer_Years__Date" caption="Year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 / Sell 1" xr10:uid="{8A04B17C-3EDF-44D1-906A-9D10D4285ADA}" cache="Slicer_Buy___Sell" caption="Buy / Sell" style="SlicerStyleDark5" rowHeight="234950"/>
  <slicer name="Market 1" xr10:uid="{2CF9162B-0856-4E1B-ACCF-FE92EF874C90}" cache="Slicer_Market" caption="Market" style="SlicerStyleDark5" rowHeight="234950"/>
  <slicer name="Years (Date) 1" xr10:uid="{EAB8136E-708A-4F71-81DA-2297CAC1AF8A}" cache="Slicer_Years__Date" caption="Years (Date)"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72AB3A-1E32-43F3-B456-CDB5AD3E19C7}" name="Table1" displayName="Table1" ref="A8:J46" totalsRowCount="1" dataDxfId="56" headerRowBorderDxfId="57" tableBorderDxfId="55">
  <autoFilter ref="A8:J45" xr:uid="{7372AB3A-1E32-43F3-B456-CDB5AD3E19C7}"/>
  <tableColumns count="10">
    <tableColumn id="1" xr3:uid="{574F0D76-D218-4A98-879D-E52DF521883F}" name="Date" totalsRowLabel="Total" dataDxfId="1"/>
    <tableColumn id="2" xr3:uid="{26E34135-8E61-4B5D-A376-5688C105D258}" name="Market" dataDxfId="54"/>
    <tableColumn id="3" xr3:uid="{F34961F9-23C2-4243-9A97-4E56B2F01E02}" name="Pair" dataDxfId="53"/>
    <tableColumn id="4" xr3:uid="{D319C348-2B40-49FE-BF44-3C70EEA760FB}" name="buy / sell" dataDxfId="52"/>
    <tableColumn id="5" xr3:uid="{0374798E-F27E-47C1-978B-4CC579EC99FB}" name="Entry Price" dataDxfId="51"/>
    <tableColumn id="6" xr3:uid="{6F468017-9D5D-4E9C-9648-12A55C93EE4E}" name="Exit Price" dataDxfId="50"/>
    <tableColumn id="7" xr3:uid="{3256EC37-88DA-492C-B09A-B6F421759262}" name="Stop Loss" dataDxfId="49"/>
    <tableColumn id="8" xr3:uid="{296070B8-DB35-414A-988B-523D16F04B7C}" name="Take Profit" dataDxfId="48"/>
    <tableColumn id="9" xr3:uid="{75411E10-15BA-4552-B936-B51C5FB0EE2E}" name="Result" dataDxfId="47"/>
    <tableColumn id="10" xr3:uid="{40586DC3-023E-4BE6-845F-005032BCC6B3}" name="points/pips gained" totalsRowFunction="count" dataDxfId="46" totalsRowDxfId="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FBD138-4856-4370-9262-9889F5BEB9C3}" name="Table2" displayName="Table2" ref="A4:H29" totalsRowCount="1" dataDxfId="45" tableBorderDxfId="44">
  <autoFilter ref="A4:H28" xr:uid="{40FBD138-4856-4370-9262-9889F5BEB9C3}"/>
  <tableColumns count="8">
    <tableColumn id="5" xr3:uid="{6C724964-B0EC-4D2E-A5F3-625A0B32D4A5}" name="Date" dataDxfId="43" totalsRowDxfId="42"/>
    <tableColumn id="1" xr3:uid="{F50AD48F-F9EF-4D01-AA08-A784746C12E8}" name="Market" dataDxfId="41" totalsRowDxfId="40"/>
    <tableColumn id="2" xr3:uid="{F0EC4DB6-C114-48CA-BBFD-A16F96449BD5}" name="Pair" dataDxfId="39" totalsRowDxfId="38"/>
    <tableColumn id="9" xr3:uid="{05FEA18A-11EA-43BF-AE40-95C1B8F4CD7B}" name="Buy / Sell" dataDxfId="37" totalsRowDxfId="36"/>
    <tableColumn id="3" xr3:uid="{F90A040A-FA0F-4715-9F23-1E3F0CDB8AF2}" name="Qunatity" dataDxfId="35" totalsRowDxfId="34"/>
    <tableColumn id="10" xr3:uid="{753CF524-5C26-4DCD-8132-5B071EFBC008}" name="points/pips gained" dataDxfId="33" totalsRowDxfId="32">
      <calculatedColumnFormula>IF(OR(ISNUMBER(SEARCH("JPY", ' Log'!C20)), ISNUMBER(SEARCH("XAU",' Log'!C20))),
   IF(' Log'!D20="Buy", (' Log'!F20 -' Log'!E20) * 100, (' Log'!E20 - ' Log'!F20) * 100),
   IF(OR(ISNUMBER(SEARCH("BTC", ' Log'!C20)), ISNUMBER(SEARCH("ETH", ' Log'!C20))),
      IF(' Log'!D20="Buy", ' Log'!F20 - ' Log'!E20, ' Log'!E20 - ' Log'!F20),
      IF(' Log'!D20="Buy", (' Log'!F20 - ' Log'!E20) * 10000, (' Log'!E20 - ' Log'!F20) * 10000)))</calculatedColumnFormula>
    </tableColumn>
    <tableColumn id="6" xr3:uid="{E6390F81-A738-4A19-9C41-4955D4D1C7BA}" name="Win/Loss" dataDxfId="31" totalsRowDxfId="30">
      <calculatedColumnFormula>IF(H5&gt;0, "Win", "Loss")</calculatedColumnFormula>
    </tableColumn>
    <tableColumn id="4" xr3:uid="{97C70CB0-09E7-43B1-9EB3-E38A8DAA85E9}" name="Profit" totalsRowFunction="sum" dataDxfId="29" totalsRowDxfId="28">
      <calculatedColumnFormula>IF(OR(ISNUMBER(SEARCH("BTC", 'Profit Calculation'!C5)), ISNUMBER(SEARCH("ETH", 'Profit Calculation'!C5))),
   ' Log'!J21 * 'Profit Calculation'!E5,
 IF(ISNUMBER(SEARCH("XAU",'Profit Calculation'!C5)),
      ' Log'!J21 *'Profit Calculation'!E5,
      ' Log'!J21 *10* 'Profit Calculation'!E5))</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J50"/>
  <sheetViews>
    <sheetView tabSelected="1" topLeftCell="A28" zoomScale="101" zoomScaleNormal="101" workbookViewId="0">
      <selection activeCell="E54" sqref="E54"/>
    </sheetView>
  </sheetViews>
  <sheetFormatPr defaultRowHeight="14.4" x14ac:dyDescent="0.3"/>
  <cols>
    <col min="1" max="1" width="18.44140625" style="1" bestFit="1" customWidth="1"/>
    <col min="2" max="2" width="10.5546875" style="1" customWidth="1"/>
    <col min="3" max="3" width="14.88671875" customWidth="1"/>
    <col min="4" max="4" width="10.6640625" customWidth="1"/>
    <col min="5" max="5" width="12.5546875" customWidth="1"/>
    <col min="6" max="6" width="14.5546875" customWidth="1"/>
    <col min="7" max="7" width="14.88671875" customWidth="1"/>
    <col min="8" max="8" width="13.88671875" customWidth="1"/>
    <col min="9" max="9" width="15" customWidth="1"/>
    <col min="10" max="10" width="18.5546875" customWidth="1"/>
  </cols>
  <sheetData>
    <row r="1" spans="1:10" x14ac:dyDescent="0.3">
      <c r="A1" s="2" t="s">
        <v>24</v>
      </c>
      <c r="B1"/>
    </row>
    <row r="2" spans="1:10" x14ac:dyDescent="0.3">
      <c r="A2" s="1" t="s">
        <v>65</v>
      </c>
      <c r="B2">
        <f>COUNT(A10:A43)</f>
        <v>34</v>
      </c>
    </row>
    <row r="3" spans="1:10" x14ac:dyDescent="0.3">
      <c r="A3" s="1" t="s">
        <v>25</v>
      </c>
      <c r="B3">
        <f>COUNTIF(I10:I43, "PROFIT")</f>
        <v>28</v>
      </c>
    </row>
    <row r="4" spans="1:10" x14ac:dyDescent="0.3">
      <c r="A4" s="1" t="s">
        <v>26</v>
      </c>
      <c r="B4">
        <f>COUNTIF(I10:I43, "LOSS")</f>
        <v>6</v>
      </c>
    </row>
    <row r="5" spans="1:10" x14ac:dyDescent="0.3">
      <c r="A5" s="1" t="s">
        <v>47</v>
      </c>
      <c r="B5">
        <f>COUNTIF(I10:I43,"PROFIT") / COUNTA(I10:I43)* 100</f>
        <v>82.35294117647058</v>
      </c>
    </row>
    <row r="6" spans="1:10" x14ac:dyDescent="0.3">
      <c r="B6"/>
    </row>
    <row r="7" spans="1:10" x14ac:dyDescent="0.3">
      <c r="B7"/>
    </row>
    <row r="8" spans="1:10" ht="34.200000000000003" customHeight="1" x14ac:dyDescent="0.3">
      <c r="A8" t="s">
        <v>0</v>
      </c>
      <c r="B8" t="s">
        <v>20</v>
      </c>
      <c r="C8" t="s">
        <v>1</v>
      </c>
      <c r="D8" t="s">
        <v>16</v>
      </c>
      <c r="E8" t="s">
        <v>2</v>
      </c>
      <c r="F8" t="s">
        <v>3</v>
      </c>
      <c r="G8" t="s">
        <v>4</v>
      </c>
      <c r="H8" t="s">
        <v>5</v>
      </c>
      <c r="I8" t="s">
        <v>27</v>
      </c>
      <c r="J8" t="s">
        <v>15</v>
      </c>
    </row>
    <row r="9" spans="1:10" ht="26.4" customHeight="1" x14ac:dyDescent="0.35">
      <c r="A9" s="3"/>
      <c r="B9" s="3"/>
      <c r="C9" s="3"/>
      <c r="D9" s="3"/>
      <c r="E9" s="3"/>
      <c r="F9" s="3"/>
      <c r="G9" s="3"/>
      <c r="H9" s="3"/>
      <c r="I9" s="4"/>
      <c r="J9" s="5"/>
    </row>
    <row r="10" spans="1:10" ht="15.6" x14ac:dyDescent="0.35">
      <c r="A10" s="27">
        <v>45814</v>
      </c>
      <c r="B10" s="4" t="s">
        <v>21</v>
      </c>
      <c r="C10" s="4" t="s">
        <v>6</v>
      </c>
      <c r="D10" s="4" t="s">
        <v>17</v>
      </c>
      <c r="E10" s="4">
        <v>1981.4</v>
      </c>
      <c r="F10" s="4">
        <v>1996.6</v>
      </c>
      <c r="G10" s="4">
        <v>1917.3</v>
      </c>
      <c r="H10" s="4">
        <v>1996.6</v>
      </c>
      <c r="I10" s="4" t="s">
        <v>10</v>
      </c>
      <c r="J10" s="4">
        <f t="shared" ref="J10:J19" si="0">ABS(E10-F10)</f>
        <v>15.199999999999818</v>
      </c>
    </row>
    <row r="11" spans="1:10" ht="15.6" x14ac:dyDescent="0.35">
      <c r="A11" s="27">
        <v>45793</v>
      </c>
      <c r="B11" s="4" t="s">
        <v>21</v>
      </c>
      <c r="C11" s="4" t="s">
        <v>19</v>
      </c>
      <c r="D11" s="4" t="s">
        <v>17</v>
      </c>
      <c r="E11" s="4">
        <v>259.75</v>
      </c>
      <c r="F11" s="4">
        <v>266.45</v>
      </c>
      <c r="G11" s="4">
        <v>233.15</v>
      </c>
      <c r="H11" s="4">
        <v>266.45</v>
      </c>
      <c r="I11" s="4" t="s">
        <v>10</v>
      </c>
      <c r="J11" s="4">
        <f t="shared" si="0"/>
        <v>6.6999999999999886</v>
      </c>
    </row>
    <row r="12" spans="1:10" ht="15.6" x14ac:dyDescent="0.35">
      <c r="A12" s="27">
        <v>45821</v>
      </c>
      <c r="B12" s="4" t="s">
        <v>21</v>
      </c>
      <c r="C12" s="4" t="s">
        <v>7</v>
      </c>
      <c r="D12" s="4" t="s">
        <v>17</v>
      </c>
      <c r="E12" s="4">
        <v>247.8</v>
      </c>
      <c r="F12" s="4">
        <v>252.15</v>
      </c>
      <c r="G12" s="4">
        <v>227.06</v>
      </c>
      <c r="H12" s="4">
        <v>252.15</v>
      </c>
      <c r="I12" s="4" t="s">
        <v>10</v>
      </c>
      <c r="J12" s="4">
        <f t="shared" si="0"/>
        <v>4.3499999999999943</v>
      </c>
    </row>
    <row r="13" spans="1:10" ht="15.6" x14ac:dyDescent="0.35">
      <c r="A13" s="27">
        <v>45819</v>
      </c>
      <c r="B13" s="4" t="s">
        <v>21</v>
      </c>
      <c r="C13" s="4" t="s">
        <v>8</v>
      </c>
      <c r="D13" s="4" t="s">
        <v>17</v>
      </c>
      <c r="E13" s="4">
        <v>327.5</v>
      </c>
      <c r="F13" s="4">
        <v>306.25</v>
      </c>
      <c r="G13" s="4">
        <v>306.25</v>
      </c>
      <c r="H13" s="4">
        <v>341.15</v>
      </c>
      <c r="I13" s="4" t="s">
        <v>9</v>
      </c>
      <c r="J13" s="4">
        <f t="shared" si="0"/>
        <v>21.25</v>
      </c>
    </row>
    <row r="14" spans="1:10" ht="15.6" x14ac:dyDescent="0.35">
      <c r="A14" s="27">
        <v>45810</v>
      </c>
      <c r="B14" s="4" t="s">
        <v>21</v>
      </c>
      <c r="C14" s="4" t="s">
        <v>11</v>
      </c>
      <c r="D14" s="4" t="s">
        <v>17</v>
      </c>
      <c r="E14" s="4">
        <v>153.07</v>
      </c>
      <c r="F14" s="4">
        <v>138.97999999999999</v>
      </c>
      <c r="G14" s="4">
        <v>138.97999999999999</v>
      </c>
      <c r="H14" s="4">
        <v>160.80000000000001</v>
      </c>
      <c r="I14" s="4" t="s">
        <v>9</v>
      </c>
      <c r="J14" s="4">
        <f t="shared" si="0"/>
        <v>14.090000000000003</v>
      </c>
    </row>
    <row r="15" spans="1:10" ht="15.6" x14ac:dyDescent="0.35">
      <c r="A15" s="27">
        <v>45831</v>
      </c>
      <c r="B15" s="4" t="s">
        <v>21</v>
      </c>
      <c r="C15" s="4" t="s">
        <v>30</v>
      </c>
      <c r="D15" s="4" t="s">
        <v>17</v>
      </c>
      <c r="E15" s="4">
        <v>410.95</v>
      </c>
      <c r="F15" s="4">
        <v>425.13</v>
      </c>
      <c r="G15" s="4">
        <v>392.3</v>
      </c>
      <c r="H15" s="4">
        <v>425.13</v>
      </c>
      <c r="I15" s="4" t="s">
        <v>10</v>
      </c>
      <c r="J15" s="4">
        <f t="shared" si="0"/>
        <v>14.180000000000007</v>
      </c>
    </row>
    <row r="16" spans="1:10" ht="15.6" x14ac:dyDescent="0.35">
      <c r="A16" s="27">
        <v>45832</v>
      </c>
      <c r="B16" s="4" t="s">
        <v>21</v>
      </c>
      <c r="C16" s="4" t="s">
        <v>6</v>
      </c>
      <c r="D16" s="4" t="s">
        <v>17</v>
      </c>
      <c r="E16" s="4">
        <v>2004.2</v>
      </c>
      <c r="F16" s="4">
        <v>2022.15</v>
      </c>
      <c r="G16" s="4">
        <v>1902.9</v>
      </c>
      <c r="H16" s="4">
        <v>2022.15</v>
      </c>
      <c r="I16" s="4" t="s">
        <v>10</v>
      </c>
      <c r="J16" s="4">
        <f t="shared" si="0"/>
        <v>17.950000000000045</v>
      </c>
    </row>
    <row r="17" spans="1:10" ht="15.6" x14ac:dyDescent="0.35">
      <c r="A17" s="27">
        <v>45833</v>
      </c>
      <c r="B17" s="4" t="s">
        <v>21</v>
      </c>
      <c r="C17" s="4" t="s">
        <v>56</v>
      </c>
      <c r="D17" s="4" t="s">
        <v>17</v>
      </c>
      <c r="E17" s="4">
        <v>313.25</v>
      </c>
      <c r="F17" s="4">
        <v>332.2</v>
      </c>
      <c r="G17" s="4">
        <v>278.5</v>
      </c>
      <c r="H17" s="4">
        <v>332.2</v>
      </c>
      <c r="I17" s="4" t="s">
        <v>10</v>
      </c>
      <c r="J17" s="4">
        <f t="shared" si="0"/>
        <v>18.949999999999989</v>
      </c>
    </row>
    <row r="18" spans="1:10" ht="15.6" x14ac:dyDescent="0.35">
      <c r="A18" s="27">
        <v>45835</v>
      </c>
      <c r="B18" s="4" t="s">
        <v>21</v>
      </c>
      <c r="C18" s="4" t="s">
        <v>7</v>
      </c>
      <c r="D18" s="4" t="s">
        <v>17</v>
      </c>
      <c r="E18" s="4">
        <v>256.14999999999998</v>
      </c>
      <c r="F18" s="4">
        <v>262.25</v>
      </c>
      <c r="G18" s="4">
        <v>245.14</v>
      </c>
      <c r="H18" s="4">
        <v>262.25</v>
      </c>
      <c r="I18" s="4" t="s">
        <v>10</v>
      </c>
      <c r="J18" s="4">
        <f t="shared" si="0"/>
        <v>6.1000000000000227</v>
      </c>
    </row>
    <row r="19" spans="1:10" ht="15.6" x14ac:dyDescent="0.35">
      <c r="A19" s="27">
        <v>45664</v>
      </c>
      <c r="B19" s="4" t="s">
        <v>21</v>
      </c>
      <c r="C19" s="4" t="s">
        <v>57</v>
      </c>
      <c r="D19" s="4" t="s">
        <v>17</v>
      </c>
      <c r="E19" s="4">
        <v>252.7</v>
      </c>
      <c r="F19" s="4">
        <v>259.35000000000002</v>
      </c>
      <c r="G19" s="4">
        <v>228.63</v>
      </c>
      <c r="H19" s="4">
        <v>259.35000000000002</v>
      </c>
      <c r="I19" s="4" t="s">
        <v>10</v>
      </c>
      <c r="J19" s="4">
        <f t="shared" si="0"/>
        <v>6.6500000000000341</v>
      </c>
    </row>
    <row r="20" spans="1:10" ht="15.6" x14ac:dyDescent="0.35">
      <c r="A20" s="27">
        <v>45027</v>
      </c>
      <c r="B20" s="4" t="s">
        <v>22</v>
      </c>
      <c r="C20" s="4" t="s">
        <v>12</v>
      </c>
      <c r="D20" s="4" t="s">
        <v>17</v>
      </c>
      <c r="E20" s="4">
        <v>3189.61</v>
      </c>
      <c r="F20" s="4">
        <v>3296.7440000000001</v>
      </c>
      <c r="G20" s="4">
        <v>2945.01</v>
      </c>
      <c r="H20" s="4">
        <v>3296.7440000000001</v>
      </c>
      <c r="I20" s="4" t="s">
        <v>10</v>
      </c>
      <c r="J20" s="7">
        <f>IF(OR(ISNUMBER(SEARCH("JPY", C20)), ISNUMBER(SEARCH("XAU", C20))),
   IF(D20="Buy", (F20 - E20) * 100, (E20 - F20) * 100),
   IF(OR(ISNUMBER(SEARCH("BTC", C20)), ISNUMBER(SEARCH("ETH", C20))),
      IF(D20="Buy", F20 - E20, E20 - F20),
      IF(D20="Buy", (F20 - E20) * 10000, (E20 - F20) * 10000)))</f>
        <v>10713.400000000001</v>
      </c>
    </row>
    <row r="21" spans="1:10" ht="15.6" x14ac:dyDescent="0.35">
      <c r="A21" s="27">
        <v>45031</v>
      </c>
      <c r="B21" s="4" t="s">
        <v>22</v>
      </c>
      <c r="C21" s="4" t="s">
        <v>13</v>
      </c>
      <c r="D21" s="4" t="s">
        <v>17</v>
      </c>
      <c r="E21" s="4">
        <v>1.3208</v>
      </c>
      <c r="F21" s="4">
        <v>1.3248800000000001</v>
      </c>
      <c r="G21" s="4">
        <v>1.302</v>
      </c>
      <c r="H21" s="4">
        <v>1.3248800000000001</v>
      </c>
      <c r="I21" s="4" t="s">
        <v>10</v>
      </c>
      <c r="J21" s="7">
        <f t="shared" ref="J21:J43" si="1">IF(OR(ISNUMBER(SEARCH("JPY", C21)), ISNUMBER(SEARCH("XAU", C21))),
   IF(D21="Buy", (F21 - E21) * 100, (E21 - F21) * 100),
   IF(OR(ISNUMBER(SEARCH("BTC", C21)), ISNUMBER(SEARCH("ETH", C21))),
      IF(D21="Buy", F21 - E21, E21 - F21),
      IF(D21="Buy", (F21 - E21) * 10000, (E21 - F21) * 10000)))</f>
        <v>40.800000000000836</v>
      </c>
    </row>
    <row r="22" spans="1:10" ht="15.6" x14ac:dyDescent="0.35">
      <c r="A22" s="27">
        <v>45032</v>
      </c>
      <c r="B22" s="4" t="s">
        <v>22</v>
      </c>
      <c r="C22" s="4" t="s">
        <v>12</v>
      </c>
      <c r="D22" s="4" t="s">
        <v>17</v>
      </c>
      <c r="E22" s="4">
        <v>3274.15</v>
      </c>
      <c r="F22" s="4">
        <v>3333.51</v>
      </c>
      <c r="G22" s="4">
        <v>318.82</v>
      </c>
      <c r="H22" s="4">
        <v>3333.51</v>
      </c>
      <c r="I22" s="4" t="s">
        <v>10</v>
      </c>
      <c r="J22" s="7">
        <f t="shared" si="1"/>
        <v>5936.0000000000127</v>
      </c>
    </row>
    <row r="23" spans="1:10" ht="15.6" x14ac:dyDescent="0.35">
      <c r="A23" s="27">
        <v>45037</v>
      </c>
      <c r="B23" s="4" t="s">
        <v>22</v>
      </c>
      <c r="C23" s="4" t="s">
        <v>12</v>
      </c>
      <c r="D23" s="4" t="s">
        <v>17</v>
      </c>
      <c r="E23" s="4">
        <v>3418.05</v>
      </c>
      <c r="F23" s="4">
        <v>3422.75</v>
      </c>
      <c r="G23" s="4">
        <v>3269.55</v>
      </c>
      <c r="H23" s="4">
        <v>3422.75</v>
      </c>
      <c r="I23" s="4" t="s">
        <v>10</v>
      </c>
      <c r="J23" s="7">
        <f t="shared" si="1"/>
        <v>469.99999999998181</v>
      </c>
    </row>
    <row r="24" spans="1:10" ht="15.6" x14ac:dyDescent="0.35">
      <c r="A24" s="27">
        <v>45100</v>
      </c>
      <c r="B24" s="4" t="s">
        <v>22</v>
      </c>
      <c r="C24" s="4" t="s">
        <v>29</v>
      </c>
      <c r="D24" s="4" t="s">
        <v>17</v>
      </c>
      <c r="E24" s="4">
        <v>168.20699999999999</v>
      </c>
      <c r="F24" s="4">
        <v>168.774</v>
      </c>
      <c r="G24" s="4">
        <v>165.999</v>
      </c>
      <c r="H24" s="4">
        <v>168.774</v>
      </c>
      <c r="I24" s="4" t="s">
        <v>10</v>
      </c>
      <c r="J24" s="7">
        <f t="shared" si="1"/>
        <v>56.700000000000728</v>
      </c>
    </row>
    <row r="25" spans="1:10" ht="15.6" x14ac:dyDescent="0.35">
      <c r="A25" s="27">
        <v>45100</v>
      </c>
      <c r="B25" s="4" t="s">
        <v>22</v>
      </c>
      <c r="C25" s="4" t="s">
        <v>29</v>
      </c>
      <c r="D25" s="4" t="s">
        <v>17</v>
      </c>
      <c r="E25" s="4">
        <v>169.446</v>
      </c>
      <c r="F25" s="4">
        <v>168.749</v>
      </c>
      <c r="G25" s="4">
        <v>167.90199999999999</v>
      </c>
      <c r="H25" s="4">
        <v>170.5</v>
      </c>
      <c r="I25" s="4" t="s">
        <v>9</v>
      </c>
      <c r="J25" s="7">
        <f t="shared" si="1"/>
        <v>-69.700000000000273</v>
      </c>
    </row>
    <row r="26" spans="1:10" ht="15.6" x14ac:dyDescent="0.35">
      <c r="A26" s="27">
        <v>45110</v>
      </c>
      <c r="B26" s="4" t="s">
        <v>22</v>
      </c>
      <c r="C26" s="4" t="s">
        <v>29</v>
      </c>
      <c r="D26" s="4" t="s">
        <v>17</v>
      </c>
      <c r="E26" s="4">
        <v>170.01</v>
      </c>
      <c r="F26" s="4">
        <v>170.595</v>
      </c>
      <c r="G26" s="4">
        <v>168.935</v>
      </c>
      <c r="H26" s="4">
        <v>170.595</v>
      </c>
      <c r="I26" s="4" t="s">
        <v>10</v>
      </c>
      <c r="J26" s="7">
        <f t="shared" si="1"/>
        <v>58.500000000000796</v>
      </c>
    </row>
    <row r="27" spans="1:10" ht="15.6" x14ac:dyDescent="0.35">
      <c r="A27" s="27">
        <v>45123</v>
      </c>
      <c r="B27" s="4" t="s">
        <v>22</v>
      </c>
      <c r="C27" s="4" t="s">
        <v>60</v>
      </c>
      <c r="D27" s="4" t="s">
        <v>18</v>
      </c>
      <c r="E27" s="4">
        <v>1.1569</v>
      </c>
      <c r="F27" s="4">
        <v>1.1714899999999999</v>
      </c>
      <c r="G27" s="4" t="s">
        <v>58</v>
      </c>
      <c r="H27" s="4">
        <v>1.15042</v>
      </c>
      <c r="I27" s="4" t="s">
        <v>9</v>
      </c>
      <c r="J27" s="7">
        <f t="shared" si="1"/>
        <v>-145.89999999999881</v>
      </c>
    </row>
    <row r="28" spans="1:10" ht="15.6" x14ac:dyDescent="0.35">
      <c r="A28" s="27">
        <v>45594</v>
      </c>
      <c r="B28" s="4" t="s">
        <v>23</v>
      </c>
      <c r="C28" s="4" t="s">
        <v>14</v>
      </c>
      <c r="D28" s="4" t="s">
        <v>17</v>
      </c>
      <c r="E28" s="4">
        <v>70283</v>
      </c>
      <c r="F28" s="4">
        <v>71806</v>
      </c>
      <c r="G28" s="4">
        <v>65193</v>
      </c>
      <c r="H28" s="4">
        <v>71806</v>
      </c>
      <c r="I28" s="4" t="s">
        <v>10</v>
      </c>
      <c r="J28" s="7">
        <f t="shared" si="1"/>
        <v>1523</v>
      </c>
    </row>
    <row r="29" spans="1:10" ht="15.6" x14ac:dyDescent="0.35">
      <c r="A29" s="27">
        <v>45350</v>
      </c>
      <c r="B29" s="4" t="s">
        <v>23</v>
      </c>
      <c r="C29" s="4" t="s">
        <v>14</v>
      </c>
      <c r="D29" s="4" t="s">
        <v>18</v>
      </c>
      <c r="E29" s="4">
        <v>79847</v>
      </c>
      <c r="F29" s="4">
        <v>87333</v>
      </c>
      <c r="G29" s="4">
        <v>87333</v>
      </c>
      <c r="H29" s="4">
        <v>77019</v>
      </c>
      <c r="I29" s="4" t="s">
        <v>9</v>
      </c>
      <c r="J29" s="7">
        <f t="shared" si="1"/>
        <v>-7486</v>
      </c>
    </row>
    <row r="30" spans="1:10" ht="15.6" x14ac:dyDescent="0.35">
      <c r="A30" s="27">
        <v>45433</v>
      </c>
      <c r="B30" s="4" t="s">
        <v>23</v>
      </c>
      <c r="C30" s="4" t="s">
        <v>14</v>
      </c>
      <c r="D30" s="4" t="s">
        <v>17</v>
      </c>
      <c r="E30" s="4">
        <v>109853</v>
      </c>
      <c r="F30" s="4">
        <v>111607</v>
      </c>
      <c r="G30" s="4">
        <v>10623</v>
      </c>
      <c r="H30" s="4">
        <v>11193</v>
      </c>
      <c r="I30" s="4" t="s">
        <v>10</v>
      </c>
      <c r="J30" s="7">
        <f t="shared" si="1"/>
        <v>1754</v>
      </c>
    </row>
    <row r="31" spans="1:10" ht="15.6" x14ac:dyDescent="0.35">
      <c r="A31" s="27">
        <v>45831</v>
      </c>
      <c r="B31" s="4" t="s">
        <v>23</v>
      </c>
      <c r="C31" s="4" t="s">
        <v>14</v>
      </c>
      <c r="D31" s="4" t="s">
        <v>18</v>
      </c>
      <c r="E31" s="4">
        <v>99607.62</v>
      </c>
      <c r="F31" s="4">
        <v>102319</v>
      </c>
      <c r="G31" s="4">
        <v>102319</v>
      </c>
      <c r="H31" s="4">
        <v>97846</v>
      </c>
      <c r="I31" s="4" t="s">
        <v>9</v>
      </c>
      <c r="J31" s="7">
        <f t="shared" si="1"/>
        <v>-2711.3800000000047</v>
      </c>
    </row>
    <row r="32" spans="1:10" ht="15.6" x14ac:dyDescent="0.35">
      <c r="A32" s="27">
        <v>45847</v>
      </c>
      <c r="B32" s="4" t="s">
        <v>23</v>
      </c>
      <c r="C32" s="4" t="s">
        <v>59</v>
      </c>
      <c r="D32" s="4" t="s">
        <v>17</v>
      </c>
      <c r="E32" s="4">
        <v>2699.99</v>
      </c>
      <c r="F32" s="4">
        <v>2746.37</v>
      </c>
      <c r="G32" s="4" t="s">
        <v>58</v>
      </c>
      <c r="H32" s="4">
        <v>2746.37</v>
      </c>
      <c r="I32" s="4" t="s">
        <v>10</v>
      </c>
      <c r="J32" s="7">
        <f t="shared" si="1"/>
        <v>46.380000000000109</v>
      </c>
    </row>
    <row r="33" spans="1:10" ht="15.6" x14ac:dyDescent="0.35">
      <c r="A33" s="27">
        <v>45848</v>
      </c>
      <c r="B33" s="4" t="s">
        <v>23</v>
      </c>
      <c r="C33" s="4" t="s">
        <v>59</v>
      </c>
      <c r="D33" s="4" t="s">
        <v>17</v>
      </c>
      <c r="E33" s="4">
        <v>2964.78</v>
      </c>
      <c r="F33" s="4">
        <v>3041.69</v>
      </c>
      <c r="G33" s="4" t="s">
        <v>58</v>
      </c>
      <c r="H33" s="4">
        <v>3041.69</v>
      </c>
      <c r="I33" s="4" t="s">
        <v>10</v>
      </c>
      <c r="J33" s="7">
        <f t="shared" si="1"/>
        <v>76.909999999999854</v>
      </c>
    </row>
    <row r="34" spans="1:10" ht="15.6" x14ac:dyDescent="0.35">
      <c r="A34" s="27">
        <v>45848</v>
      </c>
      <c r="B34" s="4" t="s">
        <v>23</v>
      </c>
      <c r="C34" s="4" t="s">
        <v>14</v>
      </c>
      <c r="D34" s="4" t="s">
        <v>17</v>
      </c>
      <c r="E34" s="4">
        <v>112412</v>
      </c>
      <c r="F34" s="4">
        <v>113478</v>
      </c>
      <c r="G34" s="4">
        <v>105000</v>
      </c>
      <c r="H34" s="4">
        <v>113478</v>
      </c>
      <c r="I34" s="4" t="s">
        <v>10</v>
      </c>
      <c r="J34" s="7">
        <f t="shared" ref="J34" si="2">IF(OR(ISNUMBER(SEARCH("JPY", C34)), ISNUMBER(SEARCH("XAU", C34))),
   IF(D34="Buy", (F34 - E34) * 100, (E34 - F34) * 100),
   IF(OR(ISNUMBER(SEARCH("BTC", C34)), ISNUMBER(SEARCH("ETH", C34))),
      IF(D34="Buy", F34 - E34, E34 - F34),
      IF(D34="Buy", (F34 - E34) * 10000, (E34 - F34) * 10000)))</f>
        <v>1066</v>
      </c>
    </row>
    <row r="35" spans="1:10" ht="15.6" x14ac:dyDescent="0.35">
      <c r="A35" s="27">
        <v>45848</v>
      </c>
      <c r="B35" s="4" t="s">
        <v>23</v>
      </c>
      <c r="C35" s="4" t="s">
        <v>14</v>
      </c>
      <c r="D35" s="4" t="s">
        <v>17</v>
      </c>
      <c r="E35" s="4">
        <v>112412</v>
      </c>
      <c r="F35" s="4">
        <v>113478</v>
      </c>
      <c r="G35" s="4">
        <v>108168</v>
      </c>
      <c r="H35" s="4">
        <v>113478</v>
      </c>
      <c r="I35" s="4" t="s">
        <v>10</v>
      </c>
      <c r="J35" s="7">
        <f t="shared" si="1"/>
        <v>1066</v>
      </c>
    </row>
    <row r="36" spans="1:10" ht="15.6" x14ac:dyDescent="0.35">
      <c r="A36" s="27">
        <v>45850</v>
      </c>
      <c r="B36" s="4" t="s">
        <v>23</v>
      </c>
      <c r="C36" s="4" t="s">
        <v>14</v>
      </c>
      <c r="D36" s="4" t="s">
        <v>17</v>
      </c>
      <c r="E36" s="4">
        <v>118076.8</v>
      </c>
      <c r="F36" s="4">
        <v>122118.99</v>
      </c>
      <c r="G36" s="4" t="s">
        <v>58</v>
      </c>
      <c r="H36" s="4">
        <v>122118.99</v>
      </c>
      <c r="I36" s="4" t="s">
        <v>10</v>
      </c>
      <c r="J36" s="7">
        <f t="shared" si="1"/>
        <v>4042.1900000000023</v>
      </c>
    </row>
    <row r="37" spans="1:10" ht="15.6" x14ac:dyDescent="0.35">
      <c r="A37" s="27">
        <v>45851</v>
      </c>
      <c r="B37" s="4" t="s">
        <v>23</v>
      </c>
      <c r="C37" s="4" t="s">
        <v>14</v>
      </c>
      <c r="D37" s="4" t="s">
        <v>17</v>
      </c>
      <c r="E37" s="4">
        <v>118691.22</v>
      </c>
      <c r="F37" s="4">
        <v>122066.72</v>
      </c>
      <c r="G37" s="4" t="s">
        <v>58</v>
      </c>
      <c r="H37" s="4">
        <v>122066.72</v>
      </c>
      <c r="I37" s="4" t="s">
        <v>10</v>
      </c>
      <c r="J37" s="7">
        <f t="shared" si="1"/>
        <v>3375.5</v>
      </c>
    </row>
    <row r="38" spans="1:10" ht="15.6" x14ac:dyDescent="0.35">
      <c r="A38" s="27">
        <v>45851</v>
      </c>
      <c r="B38" s="4" t="s">
        <v>23</v>
      </c>
      <c r="C38" s="4" t="s">
        <v>14</v>
      </c>
      <c r="D38" s="4" t="s">
        <v>17</v>
      </c>
      <c r="E38" s="4">
        <v>118823.67999999999</v>
      </c>
      <c r="F38" s="4">
        <v>122066.72</v>
      </c>
      <c r="G38" s="4" t="s">
        <v>58</v>
      </c>
      <c r="H38" s="4">
        <v>122066.72</v>
      </c>
      <c r="I38" s="4" t="s">
        <v>10</v>
      </c>
      <c r="J38" s="7">
        <f t="shared" si="1"/>
        <v>3243.0400000000081</v>
      </c>
    </row>
    <row r="39" spans="1:10" ht="15.6" x14ac:dyDescent="0.35">
      <c r="A39" s="27">
        <v>45851</v>
      </c>
      <c r="B39" s="4" t="s">
        <v>23</v>
      </c>
      <c r="C39" s="4" t="s">
        <v>14</v>
      </c>
      <c r="D39" s="4" t="s">
        <v>17</v>
      </c>
      <c r="E39" s="4">
        <v>118703.25</v>
      </c>
      <c r="F39" s="4">
        <v>122066.72</v>
      </c>
      <c r="G39" s="4" t="s">
        <v>58</v>
      </c>
      <c r="H39" s="4">
        <v>122066.72</v>
      </c>
      <c r="I39" s="4" t="s">
        <v>10</v>
      </c>
      <c r="J39" s="7">
        <f t="shared" si="1"/>
        <v>3363.4700000000012</v>
      </c>
    </row>
    <row r="40" spans="1:10" ht="15.6" x14ac:dyDescent="0.35">
      <c r="A40" s="27">
        <v>45852</v>
      </c>
      <c r="B40" s="4" t="s">
        <v>23</v>
      </c>
      <c r="C40" s="4" t="s">
        <v>14</v>
      </c>
      <c r="D40" s="4" t="s">
        <v>17</v>
      </c>
      <c r="E40" s="4">
        <v>119689.63</v>
      </c>
      <c r="F40" s="4">
        <v>122000</v>
      </c>
      <c r="G40" s="4" t="s">
        <v>58</v>
      </c>
      <c r="H40" s="4">
        <v>122000</v>
      </c>
      <c r="I40" s="4" t="s">
        <v>10</v>
      </c>
      <c r="J40" s="7">
        <f t="shared" si="1"/>
        <v>2310.3699999999953</v>
      </c>
    </row>
    <row r="41" spans="1:10" ht="15.6" x14ac:dyDescent="0.35">
      <c r="A41" s="27">
        <v>45853</v>
      </c>
      <c r="B41" s="4" t="s">
        <v>23</v>
      </c>
      <c r="C41" s="4" t="s">
        <v>59</v>
      </c>
      <c r="D41" s="4" t="s">
        <v>17</v>
      </c>
      <c r="E41" s="4">
        <v>2982.26</v>
      </c>
      <c r="F41" s="4">
        <v>3225.57</v>
      </c>
      <c r="G41" s="4" t="s">
        <v>58</v>
      </c>
      <c r="H41" s="4">
        <v>3225.57</v>
      </c>
      <c r="I41" s="4" t="s">
        <v>10</v>
      </c>
      <c r="J41" s="7">
        <f t="shared" si="1"/>
        <v>243.30999999999995</v>
      </c>
    </row>
    <row r="42" spans="1:10" ht="15.6" x14ac:dyDescent="0.35">
      <c r="A42" s="27">
        <v>45854</v>
      </c>
      <c r="B42" s="4" t="s">
        <v>23</v>
      </c>
      <c r="C42" s="4" t="s">
        <v>59</v>
      </c>
      <c r="D42" s="4" t="s">
        <v>17</v>
      </c>
      <c r="E42" s="4">
        <v>3197.7</v>
      </c>
      <c r="F42" s="4">
        <v>3225.57</v>
      </c>
      <c r="G42" s="4" t="s">
        <v>58</v>
      </c>
      <c r="H42" s="4">
        <v>3225.57</v>
      </c>
      <c r="I42" s="4" t="s">
        <v>10</v>
      </c>
      <c r="J42" s="7">
        <f t="shared" si="1"/>
        <v>27.870000000000346</v>
      </c>
    </row>
    <row r="43" spans="1:10" ht="15.6" x14ac:dyDescent="0.35">
      <c r="A43" s="27">
        <v>45854</v>
      </c>
      <c r="B43" s="4" t="s">
        <v>23</v>
      </c>
      <c r="C43" s="4" t="s">
        <v>59</v>
      </c>
      <c r="D43" s="4" t="s">
        <v>17</v>
      </c>
      <c r="E43" s="4">
        <v>3185.5</v>
      </c>
      <c r="F43" s="4">
        <v>3225.57</v>
      </c>
      <c r="G43" s="4" t="s">
        <v>58</v>
      </c>
      <c r="H43" s="4">
        <v>3225.57</v>
      </c>
      <c r="I43" s="4" t="s">
        <v>10</v>
      </c>
      <c r="J43" s="7">
        <f t="shared" si="1"/>
        <v>40.070000000000164</v>
      </c>
    </row>
    <row r="44" spans="1:10" ht="15.6" x14ac:dyDescent="0.35">
      <c r="A44" s="27"/>
      <c r="B44" s="4"/>
      <c r="C44" s="4"/>
      <c r="D44" s="4"/>
      <c r="E44" s="4"/>
      <c r="F44" s="4"/>
      <c r="G44" s="4"/>
      <c r="H44" s="4"/>
      <c r="I44" s="4"/>
      <c r="J44" s="7"/>
    </row>
    <row r="45" spans="1:10" ht="25.2" customHeight="1" x14ac:dyDescent="0.35">
      <c r="A45" s="27"/>
      <c r="B45" s="4"/>
      <c r="C45" s="4"/>
      <c r="D45" s="4"/>
      <c r="E45" s="4"/>
      <c r="F45" s="4"/>
      <c r="G45" s="4"/>
      <c r="H45" s="4"/>
      <c r="I45" s="4"/>
      <c r="J45" s="7"/>
    </row>
    <row r="46" spans="1:10" x14ac:dyDescent="0.3">
      <c r="A46" t="s">
        <v>28</v>
      </c>
      <c r="B46"/>
      <c r="J46" s="8">
        <f>SUBTOTAL(103,Table1[points/pips gained])</f>
        <v>34</v>
      </c>
    </row>
    <row r="50" spans="2:4" x14ac:dyDescent="0.3">
      <c r="B50"/>
      <c r="D50" s="25"/>
    </row>
  </sheetData>
  <sortState xmlns:xlrd2="http://schemas.microsoft.com/office/spreadsheetml/2017/richdata2" ref="A10:J14">
    <sortCondition sortBy="cellColor" ref="I10:I14" dxfId="58"/>
  </sortState>
  <conditionalFormatting sqref="F6">
    <cfRule type="containsText" dxfId="27" priority="16" operator="containsText" text="LOSS">
      <formula>NOT(ISERROR(SEARCH("LOSS",F6)))</formula>
    </cfRule>
  </conditionalFormatting>
  <conditionalFormatting sqref="I1:I7 I9:I45 I47:I1048576">
    <cfRule type="containsText" dxfId="26" priority="10" operator="containsText" text="LOSS">
      <formula>NOT(ISERROR(SEARCH("LOSS",I1)))</formula>
    </cfRule>
    <cfRule type="containsText" dxfId="25" priority="11" operator="containsText" text="LOSS">
      <formula>NOT(ISERROR(SEARCH("LOSS",I1)))</formula>
    </cfRule>
    <cfRule type="containsText" dxfId="24" priority="12" operator="containsText" text="LOSS">
      <formula>NOT(ISERROR(SEARCH("LOSS",I1)))</formula>
    </cfRule>
    <cfRule type="containsText" dxfId="23" priority="13" operator="containsText" text="LOSS">
      <formula>NOT(ISERROR(SEARCH("LOSS",I1)))</formula>
    </cfRule>
    <cfRule type="containsText" dxfId="22" priority="14" operator="containsText" text="LOSS">
      <formula>NOT(ISERROR(SEARCH("LOSS",I1)))</formula>
    </cfRule>
    <cfRule type="containsText" dxfId="21" priority="15" operator="containsText" text="LOSS">
      <formula>NOT(ISERROR(SEARCH("LOSS",I1)))</formula>
    </cfRule>
    <cfRule type="containsText" dxfId="20" priority="17" operator="containsText" text="LOSS">
      <formula>NOT(ISERROR(SEARCH("LOSS",I1)))</formula>
    </cfRule>
    <cfRule type="containsText" dxfId="19" priority="18" operator="containsText" text="LOSS">
      <formula>NOT(ISERROR(SEARCH("LOSS",I1)))</formula>
    </cfRule>
    <cfRule type="containsText" dxfId="18" priority="19" operator="containsText" text="LOSS">
      <formula>NOT(ISERROR(SEARCH("LOSS",I1)))</formula>
    </cfRule>
    <cfRule type="containsText" dxfId="17" priority="20" operator="containsText" text="LOSS">
      <formula>NOT(ISERROR(SEARCH("LOSS",I1)))</formula>
    </cfRule>
    <cfRule type="containsText" dxfId="16" priority="21" operator="containsText" text="LOSS">
      <formula>NOT(ISERROR(SEARCH("LOSS",I1)))</formula>
    </cfRule>
    <cfRule type="containsText" dxfId="15" priority="22" operator="containsText" text="PROFIT">
      <formula>NOT(ISERROR(SEARCH("PROFIT",I1)))</formula>
    </cfRule>
    <cfRule type="containsText" dxfId="14" priority="23" operator="containsText" text="PROFIT">
      <formula>NOT(ISERROR(SEARCH("PROFIT",I1)))</formula>
    </cfRule>
    <cfRule type="containsText" dxfId="13" priority="24" operator="containsText" text="LOSS">
      <formula>NOT(ISERROR(SEARCH("LOSS",I1)))</formula>
    </cfRule>
    <cfRule type="containsText" dxfId="12" priority="25" operator="containsText" text="PROFIT">
      <formula>NOT(ISERROR(SEARCH("PROFIT",I1)))</formula>
    </cfRule>
  </conditionalFormatting>
  <conditionalFormatting sqref="I1:I7 I9:I1048576">
    <cfRule type="containsText" dxfId="11" priority="54" operator="containsText" text="profit">
      <formula>NOT(ISERROR(SEARCH("profit",I1)))</formula>
    </cfRule>
    <cfRule type="containsText" dxfId="10" priority="55" operator="containsText" text="loss">
      <formula>NOT(ISERROR(SEARCH("loss",I1)))</formula>
    </cfRule>
    <cfRule type="containsText" dxfId="9" priority="56" operator="containsText" text="profit">
      <formula>NOT(ISERROR(SEARCH("profit",I1)))</formula>
    </cfRule>
    <cfRule type="containsText" dxfId="8" priority="57" operator="containsText" text="profit">
      <formula>NOT(ISERROR(SEARCH("profit",I1)))</formula>
    </cfRule>
    <cfRule type="containsText" dxfId="7" priority="58" operator="containsText" text="loss">
      <formula>NOT(ISERROR(SEARCH("loss",I1)))</formula>
    </cfRule>
    <cfRule type="containsText" dxfId="6" priority="59" operator="containsText" text="profit">
      <formula>NOT(ISERROR(SEARCH("profit",I1)))</formula>
    </cfRule>
    <cfRule type="dataBar" priority="60">
      <dataBar>
        <cfvo type="min"/>
        <cfvo type="max"/>
        <color rgb="FF638EC6"/>
      </dataBar>
      <extLst>
        <ext xmlns:x14="http://schemas.microsoft.com/office/spreadsheetml/2009/9/main" uri="{B025F937-C7B1-47D3-B67F-A62EFF666E3E}">
          <x14:id>{7C9960C4-B564-4B62-8E0C-8E56EBAD388E}</x14:id>
        </ext>
      </extLst>
    </cfRule>
  </conditionalFormatting>
  <conditionalFormatting sqref="I9:I45">
    <cfRule type="dataBar" priority="411">
      <dataBar>
        <cfvo type="min"/>
        <cfvo type="max"/>
        <color rgb="FF638EC6"/>
      </dataBar>
      <extLst>
        <ext xmlns:x14="http://schemas.microsoft.com/office/spreadsheetml/2009/9/main" uri="{B025F937-C7B1-47D3-B67F-A62EFF666E3E}">
          <x14:id>{6C56D281-2BD5-40C7-AEDA-0275AE429DC6}</x14:id>
        </ext>
      </extLst>
    </cfRule>
  </conditionalFormatting>
  <conditionalFormatting sqref="J9">
    <cfRule type="containsText" dxfId="5" priority="53" operator="containsText" text="LOSS">
      <formula>NOT(ISERROR(SEARCH("LOSS",J9)))</formula>
    </cfRule>
  </conditionalFormatting>
  <conditionalFormatting sqref="J9:J45">
    <cfRule type="containsText" dxfId="4" priority="51" operator="containsText" text="PROFIT">
      <formula>NOT(ISERROR(SEARCH("PROFIT",J9)))</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C9960C4-B564-4B62-8E0C-8E56EBAD388E}">
            <x14:dataBar minLength="0" maxLength="100" gradient="0">
              <x14:cfvo type="autoMin"/>
              <x14:cfvo type="autoMax"/>
              <x14:negativeFillColor rgb="FFFF0000"/>
              <x14:axisColor rgb="FF000000"/>
            </x14:dataBar>
          </x14:cfRule>
          <xm:sqref>I1:I7 I9:I1048576</xm:sqref>
        </x14:conditionalFormatting>
        <x14:conditionalFormatting xmlns:xm="http://schemas.microsoft.com/office/excel/2006/main">
          <x14:cfRule type="dataBar" id="{6C56D281-2BD5-40C7-AEDA-0275AE429DC6}">
            <x14:dataBar minLength="0" maxLength="100" gradient="0">
              <x14:cfvo type="autoMin"/>
              <x14:cfvo type="autoMax"/>
              <x14:negativeFillColor rgb="FFFF0000"/>
              <x14:axisColor rgb="FF000000"/>
            </x14:dataBar>
          </x14:cfRule>
          <xm:sqref>I9:I45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8F4F1-F9E6-46CB-B282-677675247FE0}">
  <dimension ref="A3:K29"/>
  <sheetViews>
    <sheetView workbookViewId="0">
      <selection activeCell="J13" sqref="J13"/>
    </sheetView>
  </sheetViews>
  <sheetFormatPr defaultRowHeight="14.4" x14ac:dyDescent="0.3"/>
  <cols>
    <col min="1" max="1" width="12.88671875" style="1" customWidth="1"/>
    <col min="2" max="2" width="13" customWidth="1"/>
    <col min="3" max="4" width="12.6640625" customWidth="1"/>
    <col min="5" max="5" width="11.5546875" customWidth="1"/>
    <col min="6" max="6" width="21" bestFit="1" customWidth="1"/>
    <col min="7" max="7" width="11" bestFit="1" customWidth="1"/>
    <col min="8" max="8" width="13.6640625" customWidth="1"/>
    <col min="10" max="10" width="10.44140625" customWidth="1"/>
    <col min="11" max="11" width="14.77734375" customWidth="1"/>
    <col min="12" max="12" width="12.88671875" customWidth="1"/>
  </cols>
  <sheetData>
    <row r="3" spans="1:11" ht="15.6" x14ac:dyDescent="0.35">
      <c r="C3" s="4"/>
      <c r="D3" s="4"/>
      <c r="E3" s="4"/>
      <c r="F3" s="4"/>
    </row>
    <row r="4" spans="1:11" ht="15.6" x14ac:dyDescent="0.35">
      <c r="A4" s="26" t="s">
        <v>0</v>
      </c>
      <c r="B4" s="9" t="s">
        <v>20</v>
      </c>
      <c r="C4" s="9" t="s">
        <v>1</v>
      </c>
      <c r="D4" s="9" t="s">
        <v>33</v>
      </c>
      <c r="E4" s="10" t="s">
        <v>32</v>
      </c>
      <c r="F4" s="10" t="s">
        <v>15</v>
      </c>
      <c r="G4" t="s">
        <v>43</v>
      </c>
      <c r="H4" s="10" t="s">
        <v>31</v>
      </c>
      <c r="K4" s="13" t="s">
        <v>36</v>
      </c>
    </row>
    <row r="5" spans="1:11" ht="15.6" x14ac:dyDescent="0.35">
      <c r="A5" s="27">
        <v>45027</v>
      </c>
      <c r="B5" s="4" t="s">
        <v>22</v>
      </c>
      <c r="C5" s="4" t="s">
        <v>12</v>
      </c>
      <c r="D5" s="4" t="s">
        <v>17</v>
      </c>
      <c r="E5" s="4">
        <v>0.02</v>
      </c>
      <c r="F5" s="4">
        <f>IF(OR(ISNUMBER(SEARCH("JPY", ' Log'!C20)), ISNUMBER(SEARCH("XAU",' Log'!C20))),
   IF(' Log'!D20="Buy", (' Log'!F20 -' Log'!E20) * 100, (' Log'!E20 - ' Log'!F20) * 100),
   IF(OR(ISNUMBER(SEARCH("BTC", ' Log'!C20)), ISNUMBER(SEARCH("ETH", ' Log'!C20))),
      IF(' Log'!D20="Buy", ' Log'!F20 - ' Log'!E20, ' Log'!E20 - ' Log'!F20),
      IF(' Log'!D20="Buy", (' Log'!F20 - ' Log'!E20) * 10000, (' Log'!E20 - ' Log'!F20) * 10000)))</f>
        <v>10713.400000000001</v>
      </c>
      <c r="G5" s="4" t="str">
        <f t="shared" ref="G5:G16" si="0">IF(H5&gt;0, "Win", "Loss")</f>
        <v>Win</v>
      </c>
      <c r="H5" s="4">
        <f>IF(OR(ISNUMBER(SEARCH("BTC", 'Profit Calculation'!C5)), ISNUMBER(SEARCH("ETH", 'Profit Calculation'!C5))),
   ' Log'!J20 * 'Profit Calculation'!E5,
 IF(ISNUMBER(SEARCH("XAU",'Profit Calculation'!C5)),
      ' Log'!J20 *'Profit Calculation'!E5,
      ' Log'!J20 *10* 'Profit Calculation'!E5))</f>
        <v>214.26800000000003</v>
      </c>
      <c r="K5">
        <f>SUM(H5:H28)</f>
        <v>6385.7340000000022</v>
      </c>
    </row>
    <row r="6" spans="1:11" ht="15.6" x14ac:dyDescent="0.35">
      <c r="A6" s="27">
        <v>45031</v>
      </c>
      <c r="B6" s="4" t="s">
        <v>22</v>
      </c>
      <c r="C6" s="4" t="s">
        <v>13</v>
      </c>
      <c r="D6" s="4" t="s">
        <v>17</v>
      </c>
      <c r="E6" s="4">
        <v>0.03</v>
      </c>
      <c r="F6" s="4">
        <f>IF(OR(ISNUMBER(SEARCH("JPY", ' Log'!C21)), ISNUMBER(SEARCH("XAU",' Log'!C21))),
   IF(' Log'!D21="Buy", (' Log'!F21 -' Log'!E21) * 100, (' Log'!E21 - ' Log'!F21) * 100),
   IF(OR(ISNUMBER(SEARCH("BTC", ' Log'!C21)), ISNUMBER(SEARCH("ETH", ' Log'!C21))),
      IF(' Log'!D21="Buy", ' Log'!F21 - ' Log'!E21, ' Log'!E21 - ' Log'!F21),
      IF(' Log'!D21="Buy", (' Log'!F21 - ' Log'!E21) * 10000, (' Log'!E21 - ' Log'!F21) * 10000)))</f>
        <v>40.800000000000836</v>
      </c>
      <c r="G6" s="4" t="str">
        <f t="shared" si="0"/>
        <v>Win</v>
      </c>
      <c r="H6" s="4">
        <f>IF(OR(ISNUMBER(SEARCH("BTC", 'Profit Calculation'!C6)), ISNUMBER(SEARCH("ETH", 'Profit Calculation'!C6))),
   ' Log'!J21 * 'Profit Calculation'!E6,
 IF(ISNUMBER(SEARCH("XAU",'Profit Calculation'!C6)),
      ' Log'!J21 *'Profit Calculation'!E6,
      ' Log'!J21 *10* 'Profit Calculation'!E6))</f>
        <v>12.240000000000251</v>
      </c>
      <c r="K6" s="13" t="s">
        <v>37</v>
      </c>
    </row>
    <row r="7" spans="1:11" ht="15.6" x14ac:dyDescent="0.35">
      <c r="A7" s="27">
        <v>45032</v>
      </c>
      <c r="B7" s="4" t="s">
        <v>22</v>
      </c>
      <c r="C7" s="4" t="s">
        <v>12</v>
      </c>
      <c r="D7" s="4" t="s">
        <v>17</v>
      </c>
      <c r="E7" s="4">
        <v>0.02</v>
      </c>
      <c r="F7" s="4">
        <f>IF(OR(ISNUMBER(SEARCH("JPY", ' Log'!C22)), ISNUMBER(SEARCH("XAU",' Log'!C22))),
   IF(' Log'!D22="Buy", (' Log'!F22 -' Log'!E22) * 100, (' Log'!E22 - ' Log'!F22) * 100),
   IF(OR(ISNUMBER(SEARCH("BTC", ' Log'!C22)), ISNUMBER(SEARCH("ETH", ' Log'!C22))),
      IF(' Log'!D22="Buy", ' Log'!F22 - ' Log'!E22, ' Log'!E22 - ' Log'!F22),
      IF(' Log'!D22="Buy", (' Log'!F22 - ' Log'!E22) * 10000, (' Log'!E22 - ' Log'!F22) * 10000)))</f>
        <v>5936.0000000000127</v>
      </c>
      <c r="G7" s="4" t="str">
        <f t="shared" si="0"/>
        <v>Win</v>
      </c>
      <c r="H7" s="4">
        <f>IF(OR(ISNUMBER(SEARCH("BTC", 'Profit Calculation'!C7)), ISNUMBER(SEARCH("ETH", 'Profit Calculation'!C7))),
   ' Log'!J22 * 'Profit Calculation'!E7,
 IF(ISNUMBER(SEARCH("XAU",'Profit Calculation'!C7)),
      ' Log'!J22 *'Profit Calculation'!E7,
      ' Log'!J22 *10* 'Profit Calculation'!E7))</f>
        <v>118.72000000000025</v>
      </c>
      <c r="K7">
        <f>COUNT(H5:H28)</f>
        <v>24</v>
      </c>
    </row>
    <row r="8" spans="1:11" ht="15.6" x14ac:dyDescent="0.35">
      <c r="A8" s="27">
        <v>45037</v>
      </c>
      <c r="B8" s="4" t="s">
        <v>22</v>
      </c>
      <c r="C8" s="4" t="s">
        <v>12</v>
      </c>
      <c r="D8" s="4" t="s">
        <v>17</v>
      </c>
      <c r="E8" s="4">
        <v>0.01</v>
      </c>
      <c r="F8" s="4">
        <f>IF(OR(ISNUMBER(SEARCH("JPY", ' Log'!C23)), ISNUMBER(SEARCH("XAU",' Log'!C23))),
   IF(' Log'!D23="Buy", (' Log'!F23 -' Log'!E23) * 100, (' Log'!E23 - ' Log'!F23) * 100),
   IF(OR(ISNUMBER(SEARCH("BTC", ' Log'!C23)), ISNUMBER(SEARCH("ETH", ' Log'!C23))),
      IF(' Log'!D23="Buy", ' Log'!F23 - ' Log'!E23, ' Log'!E23 - ' Log'!F23),
      IF(' Log'!D23="Buy", (' Log'!F23 - ' Log'!E23) * 10000, (' Log'!E23 - ' Log'!F23) * 10000)))</f>
        <v>469.99999999998181</v>
      </c>
      <c r="G8" s="4" t="str">
        <f t="shared" si="0"/>
        <v>Win</v>
      </c>
      <c r="H8" s="4">
        <f>IF(OR(ISNUMBER(SEARCH("BTC", 'Profit Calculation'!C8)), ISNUMBER(SEARCH("ETH", 'Profit Calculation'!C8))),
   ' Log'!J23 * 'Profit Calculation'!E8,
 IF(ISNUMBER(SEARCH("XAU",'Profit Calculation'!C8)),
      ' Log'!J23 *'Profit Calculation'!E8,
      ' Log'!J23 *10* 'Profit Calculation'!E8))</f>
        <v>4.6999999999998181</v>
      </c>
      <c r="K8" s="13" t="s">
        <v>38</v>
      </c>
    </row>
    <row r="9" spans="1:11" ht="15.6" x14ac:dyDescent="0.35">
      <c r="A9" s="27">
        <v>45100</v>
      </c>
      <c r="B9" s="4" t="s">
        <v>22</v>
      </c>
      <c r="C9" s="4" t="s">
        <v>29</v>
      </c>
      <c r="D9" s="4" t="s">
        <v>17</v>
      </c>
      <c r="E9" s="4">
        <v>0.02</v>
      </c>
      <c r="F9" s="4">
        <f>IF(OR(ISNUMBER(SEARCH("JPY", ' Log'!C24)), ISNUMBER(SEARCH("XAU",' Log'!C24))),
   IF(' Log'!D24="Buy", (' Log'!F24 -' Log'!E24) * 100, (' Log'!E24 - ' Log'!F24) * 100),
   IF(OR(ISNUMBER(SEARCH("BTC", ' Log'!C24)), ISNUMBER(SEARCH("ETH", ' Log'!C24))),
      IF(' Log'!D24="Buy", ' Log'!F24 - ' Log'!E24, ' Log'!E24 - ' Log'!F24),
      IF(' Log'!D24="Buy", (' Log'!F24 - ' Log'!E24) * 10000, (' Log'!E24 - ' Log'!F24) * 10000)))</f>
        <v>56.700000000000728</v>
      </c>
      <c r="G9" s="4" t="str">
        <f t="shared" si="0"/>
        <v>Win</v>
      </c>
      <c r="H9" s="4">
        <f>IF(OR(ISNUMBER(SEARCH("BTC", 'Profit Calculation'!C9)), ISNUMBER(SEARCH("ETH", 'Profit Calculation'!C9))),
   ' Log'!J24 * 'Profit Calculation'!E9,
 IF(ISNUMBER(SEARCH("XAU",'Profit Calculation'!C9)),
      ' Log'!J24 *'Profit Calculation'!E9,
      ' Log'!J24 *10* 'Profit Calculation'!E9))</f>
        <v>11.340000000000146</v>
      </c>
      <c r="K9" s="14">
        <f>COUNTIF(H3:H28,"&gt;0")/K7</f>
        <v>0.83333333333333337</v>
      </c>
    </row>
    <row r="10" spans="1:11" ht="15.6" x14ac:dyDescent="0.35">
      <c r="A10" s="27">
        <v>45100</v>
      </c>
      <c r="B10" s="4" t="s">
        <v>22</v>
      </c>
      <c r="C10" s="4" t="s">
        <v>29</v>
      </c>
      <c r="D10" s="4" t="s">
        <v>17</v>
      </c>
      <c r="E10" s="4">
        <v>7.0000000000000007E-2</v>
      </c>
      <c r="F10" s="4">
        <f>IF(OR(ISNUMBER(SEARCH("JPY", ' Log'!C25)), ISNUMBER(SEARCH("XAU",' Log'!C25))),
   IF(' Log'!D25="Buy", (' Log'!F25 -' Log'!E25) * 100, (' Log'!E25 - ' Log'!F25) * 100),
   IF(OR(ISNUMBER(SEARCH("BTC", ' Log'!C25)), ISNUMBER(SEARCH("ETH", ' Log'!C25))),
      IF(' Log'!D25="Buy", ' Log'!F25 - ' Log'!E25, ' Log'!E25 - ' Log'!F25),
      IF(' Log'!D25="Buy", (' Log'!F25 - ' Log'!E25) * 10000, (' Log'!E25 - ' Log'!F25) * 10000)))</f>
        <v>-69.700000000000273</v>
      </c>
      <c r="G10" s="4" t="str">
        <f t="shared" si="0"/>
        <v>Loss</v>
      </c>
      <c r="H10" s="4">
        <f>IF(OR(ISNUMBER(SEARCH("BTC", 'Profit Calculation'!C10)), ISNUMBER(SEARCH("ETH", 'Profit Calculation'!C10))),
   ' Log'!J25 * 'Profit Calculation'!E10,
 IF(ISNUMBER(SEARCH("XAU",'Profit Calculation'!C10)),
      ' Log'!J25 *'Profit Calculation'!E10,
      ' Log'!J25 *10* 'Profit Calculation'!E10))</f>
        <v>-48.790000000000198</v>
      </c>
    </row>
    <row r="11" spans="1:11" ht="15.6" x14ac:dyDescent="0.35">
      <c r="A11" s="27">
        <v>45110</v>
      </c>
      <c r="B11" s="4" t="s">
        <v>22</v>
      </c>
      <c r="C11" s="4" t="s">
        <v>29</v>
      </c>
      <c r="D11" s="4" t="s">
        <v>17</v>
      </c>
      <c r="E11" s="4">
        <v>0.1</v>
      </c>
      <c r="F11" s="4">
        <f>IF(OR(ISNUMBER(SEARCH("JPY", ' Log'!C26)), ISNUMBER(SEARCH("XAU",' Log'!C26))),
   IF(' Log'!D26="Buy", (' Log'!F26 -' Log'!E26) * 100, (' Log'!E26 - ' Log'!F26) * 100),
   IF(OR(ISNUMBER(SEARCH("BTC", ' Log'!C26)), ISNUMBER(SEARCH("ETH", ' Log'!C26))),
      IF(' Log'!D26="Buy", ' Log'!F26 - ' Log'!E26, ' Log'!E26 - ' Log'!F26),
      IF(' Log'!D26="Buy", (' Log'!F26 - ' Log'!E26) * 10000, (' Log'!E26 - ' Log'!F26) * 10000)))</f>
        <v>58.500000000000796</v>
      </c>
      <c r="G11" s="4" t="str">
        <f>IF(H11&gt;0, "Win", "Loss")</f>
        <v>Win</v>
      </c>
      <c r="H11" s="4">
        <f>IF(OR(ISNUMBER(SEARCH("BTC", 'Profit Calculation'!C11)), ISNUMBER(SEARCH("ETH", 'Profit Calculation'!C11))),
   ' Log'!J26 * 'Profit Calculation'!E11,
 IF(ISNUMBER(SEARCH("XAU",'Profit Calculation'!C11)),
      ' Log'!J26 *'Profit Calculation'!E11,
      ' Log'!J26 *10* 'Profit Calculation'!E11))</f>
        <v>58.500000000000796</v>
      </c>
      <c r="K11" s="14"/>
    </row>
    <row r="12" spans="1:11" ht="15.6" x14ac:dyDescent="0.35">
      <c r="A12" s="27">
        <v>45123</v>
      </c>
      <c r="B12" s="4" t="s">
        <v>22</v>
      </c>
      <c r="C12" s="4" t="s">
        <v>60</v>
      </c>
      <c r="D12" s="4" t="s">
        <v>17</v>
      </c>
      <c r="E12" s="4">
        <v>0.1</v>
      </c>
      <c r="F12" s="4">
        <f>IF(OR(ISNUMBER(SEARCH("JPY", ' Log'!C27)), ISNUMBER(SEARCH("XAU",' Log'!C27))),
   IF(' Log'!D27="Buy", (' Log'!F27 -' Log'!E27) * 100, (' Log'!E27 - ' Log'!F27) * 100),
   IF(OR(ISNUMBER(SEARCH("BTC", ' Log'!C27)), ISNUMBER(SEARCH("ETH", ' Log'!C27))),
      IF(' Log'!D27="Buy", ' Log'!F27 - ' Log'!E27, ' Log'!E27 - ' Log'!F27),
      IF(' Log'!D27="Buy", (' Log'!F27 - ' Log'!E27) * 10000, (' Log'!E27 - ' Log'!F27) * 10000)))</f>
        <v>-145.89999999999881</v>
      </c>
      <c r="G12" s="4" t="str">
        <f>IF(H12&gt;0, "Win", "Loss")</f>
        <v>Loss</v>
      </c>
      <c r="H12" s="4">
        <f>IF(OR(ISNUMBER(SEARCH("BTC", 'Profit Calculation'!C12)), ISNUMBER(SEARCH("ETH", 'Profit Calculation'!C12))),
   ' Log'!J27 * 'Profit Calculation'!E12,
 IF(ISNUMBER(SEARCH("XAU",'Profit Calculation'!C12)),
      ' Log'!J27 *'Profit Calculation'!E12,
      ' Log'!J27 *10* 'Profit Calculation'!E12))</f>
        <v>-145.89999999999881</v>
      </c>
    </row>
    <row r="13" spans="1:11" ht="15.6" x14ac:dyDescent="0.35">
      <c r="A13" s="27">
        <v>45594</v>
      </c>
      <c r="B13" s="4" t="s">
        <v>23</v>
      </c>
      <c r="C13" s="4" t="s">
        <v>14</v>
      </c>
      <c r="D13" s="4" t="s">
        <v>17</v>
      </c>
      <c r="E13" s="4">
        <v>0.01</v>
      </c>
      <c r="F13" s="4">
        <f>IF(OR(ISNUMBER(SEARCH("JPY", ' Log'!C28)), ISNUMBER(SEARCH("XAU",' Log'!C28))),
   IF(' Log'!D28="Buy", (' Log'!F28 -' Log'!E28) * 100, (' Log'!E28 - ' Log'!F28) * 100),
   IF(OR(ISNUMBER(SEARCH("BTC", ' Log'!C28)), ISNUMBER(SEARCH("ETH", ' Log'!C28))),
      IF(' Log'!D28="Buy", ' Log'!F28 - ' Log'!E28, ' Log'!E28 - ' Log'!F28),
      IF(' Log'!D28="Buy", (' Log'!F28 - ' Log'!E28) * 10000, (' Log'!E28 - ' Log'!F28) * 10000)))</f>
        <v>1523</v>
      </c>
      <c r="G13" s="4" t="str">
        <f t="shared" si="0"/>
        <v>Win</v>
      </c>
      <c r="H13" s="4">
        <f>IF(OR(ISNUMBER(SEARCH("BTC", 'Profit Calculation'!C13)), ISNUMBER(SEARCH("ETH", 'Profit Calculation'!C13))),
   ' Log'!J28 * 'Profit Calculation'!E13,
 IF(ISNUMBER(SEARCH("XAU",'Profit Calculation'!C13)),
      ' Log'!J28 *'Profit Calculation'!E13,
      ' Log'!J28 *10* 'Profit Calculation'!E13))</f>
        <v>15.23</v>
      </c>
    </row>
    <row r="14" spans="1:11" ht="15.6" x14ac:dyDescent="0.35">
      <c r="A14" s="27">
        <v>45350</v>
      </c>
      <c r="B14" s="4" t="s">
        <v>23</v>
      </c>
      <c r="C14" s="4" t="s">
        <v>14</v>
      </c>
      <c r="D14" s="4" t="s">
        <v>18</v>
      </c>
      <c r="E14" s="4">
        <v>0.01</v>
      </c>
      <c r="F14" s="4">
        <f>IF(OR(ISNUMBER(SEARCH("JPY", ' Log'!C29)), ISNUMBER(SEARCH("XAU",' Log'!C29))),
   IF(' Log'!D29="Buy", (' Log'!F29 -' Log'!E29) * 100, (' Log'!E29 - ' Log'!F29) * 100),
   IF(OR(ISNUMBER(SEARCH("BTC", ' Log'!C29)), ISNUMBER(SEARCH("ETH", ' Log'!C29))),
      IF(' Log'!D29="Buy", ' Log'!F29 - ' Log'!E29, ' Log'!E29 - ' Log'!F29),
      IF(' Log'!D29="Buy", (' Log'!F29 - ' Log'!E29) * 10000, (' Log'!E29 - ' Log'!F29) * 10000)))</f>
        <v>-7486</v>
      </c>
      <c r="G14" s="4" t="str">
        <f t="shared" si="0"/>
        <v>Loss</v>
      </c>
      <c r="H14" s="4">
        <f>IF(OR(ISNUMBER(SEARCH("BTC", 'Profit Calculation'!C14)), ISNUMBER(SEARCH("ETH", 'Profit Calculation'!C14))),
   ' Log'!J29 * 'Profit Calculation'!E14,
 IF(ISNUMBER(SEARCH("XAU",'Profit Calculation'!C14)),
      ' Log'!J29 *'Profit Calculation'!E14,
      ' Log'!J29 *10* 'Profit Calculation'!E14))</f>
        <v>-74.86</v>
      </c>
    </row>
    <row r="15" spans="1:11" ht="15.6" x14ac:dyDescent="0.35">
      <c r="A15" s="27">
        <v>45433</v>
      </c>
      <c r="B15" s="4" t="s">
        <v>23</v>
      </c>
      <c r="C15" s="4" t="s">
        <v>14</v>
      </c>
      <c r="D15" s="4" t="s">
        <v>17</v>
      </c>
      <c r="E15" s="4">
        <v>0.01</v>
      </c>
      <c r="F15" s="4">
        <f>IF(OR(ISNUMBER(SEARCH("JPY", ' Log'!C30)), ISNUMBER(SEARCH("XAU",' Log'!C30))),
   IF(' Log'!D30="Buy", (' Log'!F30 -' Log'!E30) * 100, (' Log'!E30 - ' Log'!F30) * 100),
   IF(OR(ISNUMBER(SEARCH("BTC", ' Log'!C30)), ISNUMBER(SEARCH("ETH", ' Log'!C30))),
      IF(' Log'!D30="Buy", ' Log'!F30 - ' Log'!E30, ' Log'!E30 - ' Log'!F30),
      IF(' Log'!D30="Buy", (' Log'!F30 - ' Log'!E30) * 10000, (' Log'!E30 - ' Log'!F30) * 10000)))</f>
        <v>1754</v>
      </c>
      <c r="G15" s="4" t="str">
        <f t="shared" si="0"/>
        <v>Win</v>
      </c>
      <c r="H15" s="4">
        <f>IF(OR(ISNUMBER(SEARCH("BTC", 'Profit Calculation'!C15)), ISNUMBER(SEARCH("ETH", 'Profit Calculation'!C15))),
   ' Log'!J30 * 'Profit Calculation'!E15,
 IF(ISNUMBER(SEARCH("XAU",'Profit Calculation'!C15)),
      ' Log'!J30 *'Profit Calculation'!E15,
      ' Log'!J30 *10* 'Profit Calculation'!E15))</f>
        <v>17.54</v>
      </c>
    </row>
    <row r="16" spans="1:11" ht="15.6" x14ac:dyDescent="0.35">
      <c r="A16" s="27">
        <v>45831</v>
      </c>
      <c r="B16" s="4" t="s">
        <v>23</v>
      </c>
      <c r="C16" s="4" t="s">
        <v>14</v>
      </c>
      <c r="D16" s="4" t="s">
        <v>18</v>
      </c>
      <c r="E16" s="4">
        <v>0.01</v>
      </c>
      <c r="F16" s="4">
        <f>IF(OR(ISNUMBER(SEARCH("JPY", ' Log'!C31)), ISNUMBER(SEARCH("XAU",' Log'!C31))),
   IF(' Log'!D31="Buy", (' Log'!F31 -' Log'!E31) * 100, (' Log'!E31 - ' Log'!F31) * 100),
   IF(OR(ISNUMBER(SEARCH("BTC", ' Log'!C31)), ISNUMBER(SEARCH("ETH", ' Log'!C31))),
      IF(' Log'!D31="Buy", ' Log'!F31 - ' Log'!E31, ' Log'!E31 - ' Log'!F31),
      IF(' Log'!D31="Buy", (' Log'!F31 - ' Log'!E31) * 10000, (' Log'!E31 - ' Log'!F31) * 10000)))</f>
        <v>-2711.3800000000047</v>
      </c>
      <c r="G16" s="4" t="str">
        <f t="shared" si="0"/>
        <v>Loss</v>
      </c>
      <c r="H16" s="4">
        <f>IF(OR(ISNUMBER(SEARCH("BTC", 'Profit Calculation'!C16)), ISNUMBER(SEARCH("ETH", 'Profit Calculation'!C16))),
   ' Log'!J31 * 'Profit Calculation'!E16,
 IF(ISNUMBER(SEARCH("XAU",'Profit Calculation'!C16)),
      ' Log'!J31 *'Profit Calculation'!E16,
      ' Log'!J31 *10* 'Profit Calculation'!E16))</f>
        <v>-27.113800000000047</v>
      </c>
    </row>
    <row r="17" spans="1:8" ht="15.6" x14ac:dyDescent="0.35">
      <c r="A17" s="27">
        <v>45847</v>
      </c>
      <c r="B17" s="4" t="s">
        <v>23</v>
      </c>
      <c r="C17" s="4" t="s">
        <v>59</v>
      </c>
      <c r="D17" s="4" t="s">
        <v>17</v>
      </c>
      <c r="E17" s="4">
        <v>0.1</v>
      </c>
      <c r="F17" s="4">
        <f>IF(OR(ISNUMBER(SEARCH("JPY", ' Log'!C32)), ISNUMBER(SEARCH("XAU",' Log'!C32))),
   IF(' Log'!D32="Buy", (' Log'!F32 -' Log'!E32) * 100, (' Log'!E32 - ' Log'!F32) * 100),
   IF(OR(ISNUMBER(SEARCH("BTC", ' Log'!C32)), ISNUMBER(SEARCH("ETH", ' Log'!C32))),
      IF(' Log'!D32="Buy", ' Log'!F32 - ' Log'!E32, ' Log'!E32 - ' Log'!F32),
      IF(' Log'!D32="Buy", (' Log'!F32 - ' Log'!E32) * 10000, (' Log'!E32 - ' Log'!F32) * 10000)))</f>
        <v>46.380000000000109</v>
      </c>
      <c r="G17" s="4" t="str">
        <f t="shared" ref="G17:G28" si="1">IF(H17&gt;0, "Win", "Loss")</f>
        <v>Win</v>
      </c>
      <c r="H17" s="4">
        <f>IF(OR(ISNUMBER(SEARCH("BTC", 'Profit Calculation'!C17)), ISNUMBER(SEARCH("ETH", 'Profit Calculation'!C17))),
   ' Log'!J32 * 'Profit Calculation'!E17,
 IF(ISNUMBER(SEARCH("XAU",'Profit Calculation'!C17)),
      ' Log'!J32 *'Profit Calculation'!E17,
      ' Log'!J32 *10* 'Profit Calculation'!E17))</f>
        <v>4.6380000000000114</v>
      </c>
    </row>
    <row r="18" spans="1:8" ht="15.6" x14ac:dyDescent="0.35">
      <c r="A18" s="27">
        <v>45848</v>
      </c>
      <c r="B18" s="4" t="s">
        <v>23</v>
      </c>
      <c r="C18" s="4" t="s">
        <v>59</v>
      </c>
      <c r="D18" s="4" t="s">
        <v>17</v>
      </c>
      <c r="E18" s="4">
        <v>0.1</v>
      </c>
      <c r="F18" s="4">
        <f>IF(OR(ISNUMBER(SEARCH("JPY", ' Log'!C33)), ISNUMBER(SEARCH("XAU",' Log'!C33))),
   IF(' Log'!D33="Buy", (' Log'!F33 -' Log'!E33) * 100, (' Log'!E33 - ' Log'!F33) * 100),
   IF(OR(ISNUMBER(SEARCH("BTC", ' Log'!C33)), ISNUMBER(SEARCH("ETH", ' Log'!C33))),
      IF(' Log'!D33="Buy", ' Log'!F33 - ' Log'!E33, ' Log'!E33 - ' Log'!F33),
      IF(' Log'!D33="Buy", (' Log'!F33 - ' Log'!E33) * 10000, (' Log'!E33 - ' Log'!F33) * 10000)))</f>
        <v>76.909999999999854</v>
      </c>
      <c r="G18" s="4" t="str">
        <f t="shared" si="1"/>
        <v>Win</v>
      </c>
      <c r="H18" s="4">
        <f>IF(OR(ISNUMBER(SEARCH("BTC", 'Profit Calculation'!C18)), ISNUMBER(SEARCH("ETH", 'Profit Calculation'!C18))),
   ' Log'!J33 * 'Profit Calculation'!E18,
 IF(ISNUMBER(SEARCH("XAU",'Profit Calculation'!C18)),
      ' Log'!J33 *'Profit Calculation'!E18,
      ' Log'!J33 *10* 'Profit Calculation'!E18))</f>
        <v>7.6909999999999856</v>
      </c>
    </row>
    <row r="19" spans="1:8" ht="15.6" x14ac:dyDescent="0.35">
      <c r="A19" s="27">
        <v>45848</v>
      </c>
      <c r="B19" s="4" t="s">
        <v>23</v>
      </c>
      <c r="C19" s="4" t="s">
        <v>14</v>
      </c>
      <c r="D19" s="4" t="s">
        <v>17</v>
      </c>
      <c r="E19" s="4">
        <v>0.01</v>
      </c>
      <c r="F19" s="4">
        <f>IF(OR(ISNUMBER(SEARCH("JPY", ' Log'!C34)), ISNUMBER(SEARCH("XAU",' Log'!C34))),
   IF(' Log'!D34="Buy", (' Log'!F34 -' Log'!E34) * 100, (' Log'!E34 - ' Log'!F34) * 100),
   IF(OR(ISNUMBER(SEARCH("BTC", ' Log'!C34)), ISNUMBER(SEARCH("ETH", ' Log'!C34))),
      IF(' Log'!D34="Buy", ' Log'!F34 - ' Log'!E34, ' Log'!E34 - ' Log'!F34),
      IF(' Log'!D34="Buy", (' Log'!F34 - ' Log'!E34) * 10000, (' Log'!E34 - ' Log'!F34) * 10000)))</f>
        <v>1066</v>
      </c>
      <c r="G19" s="4" t="str">
        <f t="shared" si="1"/>
        <v>Win</v>
      </c>
      <c r="H19" s="4">
        <f>IF(OR(ISNUMBER(SEARCH("BTC", 'Profit Calculation'!C19)), ISNUMBER(SEARCH("ETH", 'Profit Calculation'!C19))),
   ' Log'!J34 * 'Profit Calculation'!E19,
 IF(ISNUMBER(SEARCH("XAU",'Profit Calculation'!C19)),
      ' Log'!J34 *'Profit Calculation'!E19,
      ' Log'!J34 *10* 'Profit Calculation'!E19))</f>
        <v>10.66</v>
      </c>
    </row>
    <row r="20" spans="1:8" ht="15.6" x14ac:dyDescent="0.35">
      <c r="A20" s="27">
        <v>45848</v>
      </c>
      <c r="B20" s="4" t="s">
        <v>23</v>
      </c>
      <c r="C20" s="4" t="s">
        <v>14</v>
      </c>
      <c r="D20" s="4" t="s">
        <v>17</v>
      </c>
      <c r="E20" s="4">
        <v>0.02</v>
      </c>
      <c r="F20" s="4">
        <f>IF(OR(ISNUMBER(SEARCH("JPY", ' Log'!C35)), ISNUMBER(SEARCH("XAU",' Log'!C35))),
   IF(' Log'!D35="Buy", (' Log'!F35 -' Log'!E35) * 100, (' Log'!E35 - ' Log'!F35) * 100),
   IF(OR(ISNUMBER(SEARCH("BTC", ' Log'!C35)), ISNUMBER(SEARCH("ETH", ' Log'!C35))),
      IF(' Log'!D35="Buy", ' Log'!F35 - ' Log'!E35, ' Log'!E35 - ' Log'!F35),
      IF(' Log'!D35="Buy", (' Log'!F35 - ' Log'!E35) * 10000, (' Log'!E35 - ' Log'!F35) * 10000)))</f>
        <v>1066</v>
      </c>
      <c r="G20" s="4" t="str">
        <f t="shared" si="1"/>
        <v>Win</v>
      </c>
      <c r="H20" s="4">
        <f>IF(OR(ISNUMBER(SEARCH("BTC", 'Profit Calculation'!C20)), ISNUMBER(SEARCH("ETH", 'Profit Calculation'!C20))),
   ' Log'!J35 * 'Profit Calculation'!E20,
 IF(ISNUMBER(SEARCH("XAU",'Profit Calculation'!C20)),
      ' Log'!J35 *'Profit Calculation'!E20,
      ' Log'!J35 *10* 'Profit Calculation'!E20))</f>
        <v>21.32</v>
      </c>
    </row>
    <row r="21" spans="1:8" ht="15.6" x14ac:dyDescent="0.35">
      <c r="A21" s="27">
        <v>45850</v>
      </c>
      <c r="B21" s="4" t="s">
        <v>23</v>
      </c>
      <c r="C21" s="4" t="s">
        <v>14</v>
      </c>
      <c r="D21" s="4" t="s">
        <v>17</v>
      </c>
      <c r="E21" s="4">
        <v>0.02</v>
      </c>
      <c r="F21" s="4">
        <f>IF(OR(ISNUMBER(SEARCH("JPY", ' Log'!C36)), ISNUMBER(SEARCH("XAU",' Log'!C36))),
   IF(' Log'!D36="Buy", (' Log'!F36 -' Log'!E36) * 100, (' Log'!E36 - ' Log'!F36) * 100),
   IF(OR(ISNUMBER(SEARCH("BTC", ' Log'!C36)), ISNUMBER(SEARCH("ETH", ' Log'!C36))),
      IF(' Log'!D36="Buy", ' Log'!F36 - ' Log'!E36, ' Log'!E36 - ' Log'!F36),
      IF(' Log'!D36="Buy", (' Log'!F36 - ' Log'!E36) * 10000, (' Log'!E36 - ' Log'!F36) * 10000)))</f>
        <v>4042.1900000000023</v>
      </c>
      <c r="G21" s="4" t="str">
        <f t="shared" si="1"/>
        <v>Win</v>
      </c>
      <c r="H21" s="4">
        <f>IF(OR(ISNUMBER(SEARCH("BTC", 'Profit Calculation'!C21)), ISNUMBER(SEARCH("ETH", 'Profit Calculation'!C21))),
   ' Log'!J36 * 'Profit Calculation'!E21,
 IF(ISNUMBER(SEARCH("XAU",'Profit Calculation'!C21)),
      ' Log'!J36 *'Profit Calculation'!E21,
      ' Log'!J36 *10* 'Profit Calculation'!E21))</f>
        <v>80.843800000000044</v>
      </c>
    </row>
    <row r="22" spans="1:8" ht="15.6" x14ac:dyDescent="0.35">
      <c r="A22" s="27">
        <v>45851</v>
      </c>
      <c r="B22" s="4" t="s">
        <v>23</v>
      </c>
      <c r="C22" s="4" t="s">
        <v>14</v>
      </c>
      <c r="D22" s="4" t="s">
        <v>17</v>
      </c>
      <c r="E22" s="4">
        <v>0.1</v>
      </c>
      <c r="F22" s="4">
        <f>IF(OR(ISNUMBER(SEARCH("JPY", ' Log'!C37)), ISNUMBER(SEARCH("XAU",' Log'!C37))),
   IF(' Log'!D37="Buy", (' Log'!F37 -' Log'!E37) * 100, (' Log'!E37 - ' Log'!F37) * 100),
   IF(OR(ISNUMBER(SEARCH("BTC", ' Log'!C37)), ISNUMBER(SEARCH("ETH", ' Log'!C37))),
      IF(' Log'!D37="Buy", ' Log'!F37 - ' Log'!E37, ' Log'!E37 - ' Log'!F37),
      IF(' Log'!D37="Buy", (' Log'!F37 - ' Log'!E37) * 10000, (' Log'!E37 - ' Log'!F37) * 10000)))</f>
        <v>3375.5</v>
      </c>
      <c r="G22" s="4" t="str">
        <f t="shared" si="1"/>
        <v>Win</v>
      </c>
      <c r="H22" s="4">
        <f>IF(OR(ISNUMBER(SEARCH("BTC", 'Profit Calculation'!C22)), ISNUMBER(SEARCH("ETH", 'Profit Calculation'!C22))),
   ' Log'!J37 * 'Profit Calculation'!E22,
 IF(ISNUMBER(SEARCH("XAU",'Profit Calculation'!C22)),
      ' Log'!J37 *'Profit Calculation'!E22,
      ' Log'!J37 *10* 'Profit Calculation'!E22))</f>
        <v>337.55</v>
      </c>
    </row>
    <row r="23" spans="1:8" ht="15.6" x14ac:dyDescent="0.35">
      <c r="A23" s="27">
        <v>45851</v>
      </c>
      <c r="B23" s="4" t="s">
        <v>23</v>
      </c>
      <c r="C23" s="4" t="s">
        <v>14</v>
      </c>
      <c r="D23" s="4" t="s">
        <v>17</v>
      </c>
      <c r="E23" s="4">
        <v>0.5</v>
      </c>
      <c r="F23" s="4">
        <f>IF(OR(ISNUMBER(SEARCH("JPY", ' Log'!C38)), ISNUMBER(SEARCH("XAU",' Log'!C38))),
   IF(' Log'!D38="Buy", (' Log'!F38 -' Log'!E38) * 100, (' Log'!E38 - ' Log'!F38) * 100),
   IF(OR(ISNUMBER(SEARCH("BTC", ' Log'!C38)), ISNUMBER(SEARCH("ETH", ' Log'!C38))),
      IF(' Log'!D38="Buy", ' Log'!F38 - ' Log'!E38, ' Log'!E38 - ' Log'!F38),
      IF(' Log'!D38="Buy", (' Log'!F38 - ' Log'!E38) * 10000, (' Log'!E38 - ' Log'!F38) * 10000)))</f>
        <v>3243.0400000000081</v>
      </c>
      <c r="G23" s="4" t="str">
        <f t="shared" si="1"/>
        <v>Win</v>
      </c>
      <c r="H23" s="4">
        <f>IF(OR(ISNUMBER(SEARCH("BTC", 'Profit Calculation'!C23)), ISNUMBER(SEARCH("ETH", 'Profit Calculation'!C23))),
   ' Log'!J38 * 'Profit Calculation'!E23,
 IF(ISNUMBER(SEARCH("XAU",'Profit Calculation'!C23)),
      ' Log'!J38 *'Profit Calculation'!E23,
      ' Log'!J38 *10* 'Profit Calculation'!E23))</f>
        <v>1621.5200000000041</v>
      </c>
    </row>
    <row r="24" spans="1:8" ht="15.6" x14ac:dyDescent="0.35">
      <c r="A24" s="27">
        <v>45851</v>
      </c>
      <c r="B24" s="4" t="s">
        <v>23</v>
      </c>
      <c r="C24" s="4" t="s">
        <v>14</v>
      </c>
      <c r="D24" s="4" t="s">
        <v>17</v>
      </c>
      <c r="E24" s="4">
        <v>0.5</v>
      </c>
      <c r="F24" s="4">
        <f>IF(OR(ISNUMBER(SEARCH("JPY", ' Log'!C39)), ISNUMBER(SEARCH("XAU",' Log'!C39))),
   IF(' Log'!D39="Buy", (' Log'!F39 -' Log'!E39) * 100, (' Log'!E39 - ' Log'!F39) * 100),
   IF(OR(ISNUMBER(SEARCH("BTC", ' Log'!C39)), ISNUMBER(SEARCH("ETH", ' Log'!C39))),
      IF(' Log'!D39="Buy", ' Log'!F39 - ' Log'!E39, ' Log'!E39 - ' Log'!F39),
      IF(' Log'!D39="Buy", (' Log'!F39 - ' Log'!E39) * 10000, (' Log'!E39 - ' Log'!F39) * 10000)))</f>
        <v>3363.4700000000012</v>
      </c>
      <c r="G24" s="4" t="str">
        <f t="shared" si="1"/>
        <v>Win</v>
      </c>
      <c r="H24" s="4">
        <f>IF(OR(ISNUMBER(SEARCH("BTC", 'Profit Calculation'!C24)), ISNUMBER(SEARCH("ETH", 'Profit Calculation'!C24))),
   ' Log'!J39 * 'Profit Calculation'!E24,
 IF(ISNUMBER(SEARCH("XAU",'Profit Calculation'!C24)),
      ' Log'!J39 *'Profit Calculation'!E24,
      ' Log'!J39 *10* 'Profit Calculation'!E24))</f>
        <v>1681.7350000000006</v>
      </c>
    </row>
    <row r="25" spans="1:8" ht="15.6" x14ac:dyDescent="0.35">
      <c r="A25" s="27">
        <v>45852</v>
      </c>
      <c r="B25" s="4" t="s">
        <v>23</v>
      </c>
      <c r="C25" s="4" t="s">
        <v>14</v>
      </c>
      <c r="D25" s="4" t="s">
        <v>17</v>
      </c>
      <c r="E25" s="4">
        <v>1</v>
      </c>
      <c r="F25" s="4">
        <f>IF(OR(ISNUMBER(SEARCH("JPY", ' Log'!C40)), ISNUMBER(SEARCH("XAU",' Log'!C40))),
   IF(' Log'!D40="Buy", (' Log'!F40 -' Log'!E40) * 100, (' Log'!E40 - ' Log'!F40) * 100),
   IF(OR(ISNUMBER(SEARCH("BTC", ' Log'!C40)), ISNUMBER(SEARCH("ETH", ' Log'!C40))),
      IF(' Log'!D40="Buy", ' Log'!F40 - ' Log'!E40, ' Log'!E40 - ' Log'!F40),
      IF(' Log'!D40="Buy", (' Log'!F40 - ' Log'!E40) * 10000, (' Log'!E40 - ' Log'!F40) * 10000)))</f>
        <v>2310.3699999999953</v>
      </c>
      <c r="G25" s="4" t="str">
        <f t="shared" si="1"/>
        <v>Win</v>
      </c>
      <c r="H25" s="4">
        <f>IF(OR(ISNUMBER(SEARCH("BTC", 'Profit Calculation'!C25)), ISNUMBER(SEARCH("ETH", 'Profit Calculation'!C25))),
   ' Log'!J40 * 'Profit Calculation'!E25,
 IF(ISNUMBER(SEARCH("XAU",'Profit Calculation'!C25)),
      ' Log'!J40 *'Profit Calculation'!E25,
      ' Log'!J40 *10* 'Profit Calculation'!E25))</f>
        <v>2310.3699999999953</v>
      </c>
    </row>
    <row r="26" spans="1:8" ht="15.6" x14ac:dyDescent="0.35">
      <c r="A26" s="27">
        <v>45853</v>
      </c>
      <c r="B26" s="4" t="s">
        <v>23</v>
      </c>
      <c r="C26" s="4" t="s">
        <v>59</v>
      </c>
      <c r="D26" s="4" t="s">
        <v>17</v>
      </c>
      <c r="E26" s="4">
        <v>0.5</v>
      </c>
      <c r="F26" s="4">
        <f>IF(OR(ISNUMBER(SEARCH("JPY", ' Log'!C41)), ISNUMBER(SEARCH("XAU",' Log'!C41))),
   IF(' Log'!D41="Buy", (' Log'!F41 -' Log'!E41) * 100, (' Log'!E41 - ' Log'!F41) * 100),
   IF(OR(ISNUMBER(SEARCH("BTC", ' Log'!C41)), ISNUMBER(SEARCH("ETH", ' Log'!C41))),
      IF(' Log'!D41="Buy", ' Log'!F41 - ' Log'!E41, ' Log'!E41 - ' Log'!F41),
      IF(' Log'!D41="Buy", (' Log'!F41 - ' Log'!E41) * 10000, (' Log'!E41 - ' Log'!F41) * 10000)))</f>
        <v>243.30999999999995</v>
      </c>
      <c r="G26" s="4" t="str">
        <f t="shared" si="1"/>
        <v>Win</v>
      </c>
      <c r="H26" s="4">
        <f>IF(OR(ISNUMBER(SEARCH("BTC", 'Profit Calculation'!C26)), ISNUMBER(SEARCH("ETH", 'Profit Calculation'!C26))),
   ' Log'!J41 * 'Profit Calculation'!E26,
 IF(ISNUMBER(SEARCH("XAU",'Profit Calculation'!C26)),
      ' Log'!J41 *'Profit Calculation'!E26,
      ' Log'!J41 *10* 'Profit Calculation'!E26))</f>
        <v>121.65499999999997</v>
      </c>
    </row>
    <row r="27" spans="1:8" ht="15.6" x14ac:dyDescent="0.35">
      <c r="A27" s="27">
        <v>45854</v>
      </c>
      <c r="B27" s="4" t="s">
        <v>23</v>
      </c>
      <c r="C27" s="4" t="s">
        <v>59</v>
      </c>
      <c r="D27" s="4" t="s">
        <v>17</v>
      </c>
      <c r="E27" s="4">
        <v>1</v>
      </c>
      <c r="F27" s="4">
        <f>IF(OR(ISNUMBER(SEARCH("JPY", ' Log'!C42)), ISNUMBER(SEARCH("XAU",' Log'!C42))),
   IF(' Log'!D42="Buy", (' Log'!F42 -' Log'!E42) * 100, (' Log'!E42 - ' Log'!F42) * 100),
   IF(OR(ISNUMBER(SEARCH("BTC", ' Log'!C42)), ISNUMBER(SEARCH("ETH", ' Log'!C42))),
      IF(' Log'!D42="Buy", ' Log'!F42 - ' Log'!E42, ' Log'!E42 - ' Log'!F42),
      IF(' Log'!D42="Buy", (' Log'!F42 - ' Log'!E42) * 10000, (' Log'!E42 - ' Log'!F42) * 10000)))</f>
        <v>27.870000000000346</v>
      </c>
      <c r="G27" s="4" t="str">
        <f t="shared" si="1"/>
        <v>Win</v>
      </c>
      <c r="H27" s="4">
        <f>IF(OR(ISNUMBER(SEARCH("BTC", 'Profit Calculation'!C27)), ISNUMBER(SEARCH("ETH", 'Profit Calculation'!C27))),
   ' Log'!J42 * 'Profit Calculation'!E27,
 IF(ISNUMBER(SEARCH("XAU",'Profit Calculation'!C27)),
      ' Log'!J42 *'Profit Calculation'!E27,
      ' Log'!J42 *10* 'Profit Calculation'!E27))</f>
        <v>27.870000000000346</v>
      </c>
    </row>
    <row r="28" spans="1:8" ht="15.6" x14ac:dyDescent="0.35">
      <c r="A28" s="27">
        <v>45854</v>
      </c>
      <c r="B28" s="4" t="s">
        <v>23</v>
      </c>
      <c r="C28" s="4" t="s">
        <v>59</v>
      </c>
      <c r="D28" s="4" t="s">
        <v>17</v>
      </c>
      <c r="E28" s="4">
        <v>0.1</v>
      </c>
      <c r="F28" s="4">
        <f>IF(OR(ISNUMBER(SEARCH("JPY", ' Log'!C43)), ISNUMBER(SEARCH("XAU",' Log'!C43))),
   IF(' Log'!D43="Buy", (' Log'!F43 -' Log'!E43) * 100, (' Log'!E43 - ' Log'!F43) * 100),
   IF(OR(ISNUMBER(SEARCH("BTC", ' Log'!C43)), ISNUMBER(SEARCH("ETH", ' Log'!C43))),
      IF(' Log'!D43="Buy", ' Log'!F43 - ' Log'!E43, ' Log'!E43 - ' Log'!F43),
      IF(' Log'!D43="Buy", (' Log'!F43 - ' Log'!E43) * 10000, (' Log'!E43 - ' Log'!F43) * 10000)))</f>
        <v>40.070000000000164</v>
      </c>
      <c r="G28" s="4" t="str">
        <f t="shared" si="1"/>
        <v>Win</v>
      </c>
      <c r="H28" s="4">
        <f>IF(OR(ISNUMBER(SEARCH("BTC", 'Profit Calculation'!C28)), ISNUMBER(SEARCH("ETH", 'Profit Calculation'!C28))),
   ' Log'!J43 * 'Profit Calculation'!E28,
 IF(ISNUMBER(SEARCH("XAU",'Profit Calculation'!C28)),
      ' Log'!J43 *'Profit Calculation'!E28,
      ' Log'!J43 *10* 'Profit Calculation'!E28))</f>
        <v>4.0070000000000165</v>
      </c>
    </row>
    <row r="29" spans="1:8" ht="15.6" x14ac:dyDescent="0.35">
      <c r="A29" s="6"/>
      <c r="B29" s="4"/>
      <c r="C29" s="4"/>
      <c r="D29" s="4"/>
      <c r="E29" s="4"/>
      <c r="F29" s="4"/>
      <c r="G29" s="4"/>
      <c r="H29" s="4">
        <f>SUBTOTAL(109,Table2[Profit])</f>
        <v>6385.7340000000022</v>
      </c>
    </row>
  </sheetData>
  <phoneticPr fontId="7" type="noConversion"/>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8B6F-3B63-4EFE-A3CA-B068D177DD1A}">
  <sheetPr>
    <tabColor theme="3"/>
  </sheetPr>
  <dimension ref="C2:O36"/>
  <sheetViews>
    <sheetView topLeftCell="B2" workbookViewId="0">
      <selection activeCell="D51" sqref="D51"/>
    </sheetView>
  </sheetViews>
  <sheetFormatPr defaultRowHeight="14.4" x14ac:dyDescent="0.3"/>
  <cols>
    <col min="3" max="3" width="12.5546875" style="29" bestFit="1" customWidth="1"/>
    <col min="4" max="4" width="12.109375" bestFit="1" customWidth="1"/>
    <col min="5" max="5" width="23.44140625" bestFit="1" customWidth="1"/>
    <col min="6" max="6" width="9.5546875" customWidth="1"/>
    <col min="7" max="7" width="12.5546875" bestFit="1" customWidth="1"/>
    <col min="8" max="9" width="12.109375" bestFit="1" customWidth="1"/>
    <col min="10" max="10" width="12.5546875" bestFit="1" customWidth="1"/>
    <col min="11" max="11" width="16.6640625" bestFit="1" customWidth="1"/>
    <col min="12" max="12" width="12.109375" bestFit="1" customWidth="1"/>
    <col min="13" max="13" width="12.5546875" bestFit="1" customWidth="1"/>
    <col min="14" max="14" width="12.109375" bestFit="1" customWidth="1"/>
    <col min="15" max="15" width="12.5546875" bestFit="1" customWidth="1"/>
    <col min="16" max="16" width="12.109375" bestFit="1" customWidth="1"/>
  </cols>
  <sheetData>
    <row r="2" spans="3:14" ht="28.8" x14ac:dyDescent="0.55000000000000004">
      <c r="H2" s="18" t="s">
        <v>40</v>
      </c>
      <c r="I2" s="19"/>
      <c r="J2" s="19"/>
      <c r="K2" s="17"/>
    </row>
    <row r="4" spans="3:14" ht="18" x14ac:dyDescent="0.35">
      <c r="C4" s="30" t="s">
        <v>39</v>
      </c>
      <c r="D4" s="15"/>
      <c r="G4" s="22" t="s">
        <v>42</v>
      </c>
      <c r="J4" s="24" t="s">
        <v>46</v>
      </c>
      <c r="M4" s="23" t="s">
        <v>41</v>
      </c>
    </row>
    <row r="6" spans="3:14" x14ac:dyDescent="0.3">
      <c r="C6" s="11" t="s">
        <v>34</v>
      </c>
      <c r="D6" t="s">
        <v>35</v>
      </c>
      <c r="E6" t="s">
        <v>63</v>
      </c>
      <c r="G6" s="11" t="s">
        <v>34</v>
      </c>
      <c r="H6" t="s">
        <v>35</v>
      </c>
      <c r="J6" s="11" t="s">
        <v>34</v>
      </c>
      <c r="K6" t="s">
        <v>45</v>
      </c>
      <c r="M6" s="11" t="s">
        <v>34</v>
      </c>
      <c r="N6" t="s">
        <v>35</v>
      </c>
    </row>
    <row r="7" spans="3:14" x14ac:dyDescent="0.3">
      <c r="C7" s="12" t="s">
        <v>50</v>
      </c>
      <c r="D7">
        <v>-42.09</v>
      </c>
      <c r="E7">
        <v>-4209</v>
      </c>
      <c r="G7" s="12" t="s">
        <v>14</v>
      </c>
      <c r="H7">
        <v>5994.7950000000001</v>
      </c>
      <c r="J7" s="12" t="s">
        <v>53</v>
      </c>
      <c r="K7">
        <v>4</v>
      </c>
      <c r="M7" s="12" t="s">
        <v>17</v>
      </c>
      <c r="N7">
        <v>6487.707800000002</v>
      </c>
    </row>
    <row r="8" spans="3:14" x14ac:dyDescent="0.3">
      <c r="C8" s="28" t="s">
        <v>55</v>
      </c>
      <c r="D8">
        <v>-74.86</v>
      </c>
      <c r="E8">
        <v>-7486</v>
      </c>
      <c r="G8" s="12" t="s">
        <v>29</v>
      </c>
      <c r="H8">
        <v>21.050000000000743</v>
      </c>
      <c r="J8" s="12" t="s">
        <v>44</v>
      </c>
      <c r="K8">
        <v>20</v>
      </c>
      <c r="M8" s="12" t="s">
        <v>18</v>
      </c>
      <c r="N8">
        <v>-101.97380000000004</v>
      </c>
    </row>
    <row r="9" spans="3:14" x14ac:dyDescent="0.3">
      <c r="C9" s="28" t="s">
        <v>54</v>
      </c>
      <c r="D9">
        <v>17.54</v>
      </c>
      <c r="E9">
        <v>1754</v>
      </c>
      <c r="G9" s="12" t="s">
        <v>13</v>
      </c>
      <c r="H9">
        <v>12.240000000000251</v>
      </c>
    </row>
    <row r="10" spans="3:14" x14ac:dyDescent="0.3">
      <c r="C10" s="28" t="s">
        <v>51</v>
      </c>
      <c r="D10">
        <v>15.23</v>
      </c>
      <c r="E10">
        <v>1523</v>
      </c>
      <c r="G10" s="12" t="s">
        <v>12</v>
      </c>
      <c r="H10">
        <v>337.6880000000001</v>
      </c>
    </row>
    <row r="11" spans="3:14" x14ac:dyDescent="0.3">
      <c r="C11" s="12" t="s">
        <v>48</v>
      </c>
      <c r="D11">
        <v>6202.7460000000001</v>
      </c>
      <c r="E11">
        <v>16189.730000000003</v>
      </c>
      <c r="G11" s="12" t="s">
        <v>60</v>
      </c>
      <c r="H11">
        <v>-145.89999999999881</v>
      </c>
    </row>
    <row r="12" spans="3:14" x14ac:dyDescent="0.3">
      <c r="C12" s="28" t="s">
        <v>52</v>
      </c>
      <c r="D12">
        <v>-27.113800000000047</v>
      </c>
      <c r="E12">
        <v>-2711.3800000000047</v>
      </c>
      <c r="G12" s="12" t="s">
        <v>59</v>
      </c>
      <c r="H12">
        <v>165.86100000000033</v>
      </c>
    </row>
    <row r="13" spans="3:14" x14ac:dyDescent="0.3">
      <c r="C13" s="28" t="s">
        <v>61</v>
      </c>
      <c r="D13">
        <v>6229.8598000000002</v>
      </c>
      <c r="E13">
        <v>18901.110000000008</v>
      </c>
    </row>
    <row r="14" spans="3:14" x14ac:dyDescent="0.3">
      <c r="C14" s="12" t="s">
        <v>62</v>
      </c>
      <c r="D14">
        <v>225.07800000000228</v>
      </c>
      <c r="E14">
        <v>17059.8</v>
      </c>
    </row>
    <row r="15" spans="3:14" x14ac:dyDescent="0.3">
      <c r="C15" s="28" t="s">
        <v>49</v>
      </c>
      <c r="D15">
        <v>349.92800000000034</v>
      </c>
      <c r="E15">
        <v>17160.199999999997</v>
      </c>
    </row>
    <row r="16" spans="3:14" x14ac:dyDescent="0.3">
      <c r="C16" s="28" t="s">
        <v>52</v>
      </c>
      <c r="D16">
        <v>-37.450000000000053</v>
      </c>
      <c r="E16">
        <v>-12.999999999999545</v>
      </c>
    </row>
    <row r="17" spans="3:15" x14ac:dyDescent="0.3">
      <c r="C17" s="28" t="s">
        <v>61</v>
      </c>
      <c r="D17">
        <v>-87.399999999998016</v>
      </c>
      <c r="E17">
        <v>-87.399999999998016</v>
      </c>
    </row>
    <row r="18" spans="3:15" x14ac:dyDescent="0.3">
      <c r="C18"/>
    </row>
    <row r="19" spans="3:15" ht="15" thickBot="1" x14ac:dyDescent="0.35">
      <c r="C19" s="20"/>
      <c r="D19" s="20"/>
      <c r="E19" s="20"/>
      <c r="F19" s="20"/>
      <c r="G19" s="20"/>
      <c r="H19" s="20"/>
      <c r="I19" s="20"/>
      <c r="J19" s="20"/>
      <c r="K19" s="20"/>
      <c r="L19" s="20"/>
      <c r="M19" s="20"/>
      <c r="N19" s="20"/>
      <c r="O19" s="20"/>
    </row>
    <row r="20" spans="3:15" x14ac:dyDescent="0.3">
      <c r="C20"/>
    </row>
    <row r="21" spans="3:15" ht="28.8" x14ac:dyDescent="0.55000000000000004">
      <c r="C21"/>
      <c r="H21" s="21" t="s">
        <v>64</v>
      </c>
      <c r="I21" s="16"/>
    </row>
    <row r="22" spans="3:15" x14ac:dyDescent="0.3">
      <c r="C22"/>
    </row>
    <row r="23" spans="3:15" x14ac:dyDescent="0.3">
      <c r="C23"/>
    </row>
    <row r="24" spans="3:15" x14ac:dyDescent="0.3">
      <c r="C24"/>
    </row>
    <row r="25" spans="3:15" x14ac:dyDescent="0.3">
      <c r="C25"/>
    </row>
    <row r="26" spans="3:15" x14ac:dyDescent="0.3">
      <c r="C26"/>
    </row>
    <row r="27" spans="3:15" x14ac:dyDescent="0.3">
      <c r="C27"/>
    </row>
    <row r="28" spans="3:15" x14ac:dyDescent="0.3">
      <c r="C28"/>
    </row>
    <row r="29" spans="3:15" x14ac:dyDescent="0.3">
      <c r="C29"/>
    </row>
    <row r="30" spans="3:15" x14ac:dyDescent="0.3">
      <c r="C30"/>
    </row>
    <row r="31" spans="3:15" x14ac:dyDescent="0.3">
      <c r="C31"/>
    </row>
    <row r="32" spans="3:15" x14ac:dyDescent="0.3">
      <c r="C32"/>
    </row>
    <row r="33" spans="3:3" x14ac:dyDescent="0.3">
      <c r="C33"/>
    </row>
    <row r="34" spans="3:3" x14ac:dyDescent="0.3">
      <c r="C34"/>
    </row>
    <row r="35" spans="3:3" x14ac:dyDescent="0.3">
      <c r="C35"/>
    </row>
    <row r="36" spans="3:3" x14ac:dyDescent="0.3">
      <c r="C36"/>
    </row>
  </sheetData>
  <sheetProtection selectLockedCells="1" selectUnlockedCells="1"/>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08104-B3E0-4B1C-AE4B-A27A90134FEC}">
  <dimension ref="A3"/>
  <sheetViews>
    <sheetView showGridLines="0" topLeftCell="A6" workbookViewId="0">
      <selection activeCell="P33" sqref="P33"/>
    </sheetView>
  </sheetViews>
  <sheetFormatPr defaultRowHeight="14.4" x14ac:dyDescent="0.3"/>
  <sheetData>
    <row r="3" ht="16.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Log</vt:lpstr>
      <vt:lpstr>Profit Calculation</vt:lpstr>
      <vt:lpstr>Pivot Table and Slicers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sathishkumar S</dc:creator>
  <cp:lastModifiedBy>sathishkumar S</cp:lastModifiedBy>
  <cp:lastPrinted>2025-06-23T04:55:27Z</cp:lastPrinted>
  <dcterms:created xsi:type="dcterms:W3CDTF">2025-06-14T08:40:34Z</dcterms:created>
  <dcterms:modified xsi:type="dcterms:W3CDTF">2025-12-10T10:51:14Z</dcterms:modified>
</cp:coreProperties>
</file>